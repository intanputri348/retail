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SEMESTER 6\DATA WAREHOUSE\"/>
    </mc:Choice>
  </mc:AlternateContent>
  <xr:revisionPtr revIDLastSave="0" documentId="13_ncr:1_{58805193-2A65-45C0-A6A3-0A90F793C77C}" xr6:coauthVersionLast="47" xr6:coauthVersionMax="47" xr10:uidLastSave="{00000000-0000-0000-0000-000000000000}"/>
  <bookViews>
    <workbookView xWindow="-110" yWindow="-110" windowWidth="19420" windowHeight="11500" xr2:uid="{DCBF71BD-589C-46AA-B2CD-7E981EAA739D}"/>
  </bookViews>
  <sheets>
    <sheet name="Sheet2" sheetId="3" r:id="rId1"/>
    <sheet name="retail_xyz_sql" sheetId="2" r:id="rId2"/>
    <sheet name="Sheet1" sheetId="1" r:id="rId3"/>
  </sheets>
  <definedNames>
    <definedName name="ExternalData_1" localSheetId="1" hidden="1">'retail_xyz_sql'!$A$1:$N$101</definedName>
    <definedName name="Slicer_bulan">#N/A</definedName>
    <definedName name="Slicer_golongan_umur">#N/A</definedName>
    <definedName name="Slicer_kategori">#N/A</definedName>
    <definedName name="Slicer_nama_cabang">#N/A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8DC49E-5097-4A52-B789-E3FD4D5F75AF}" keepAlive="1" name="Query - retail_xyz_sql" description="Connection to the 'retail_xyz_sql' query in the workbook." type="5" refreshedVersion="8" background="1" saveData="1">
    <dbPr connection="Provider=Microsoft.Mashup.OleDb.1;Data Source=$Workbook$;Location=retail_xyz_sql;Extended Properties=&quot;&quot;" command="SELECT * FROM [retail_xyz_sql]"/>
  </connection>
</connections>
</file>

<file path=xl/sharedStrings.xml><?xml version="1.0" encoding="utf-8"?>
<sst xmlns="http://schemas.openxmlformats.org/spreadsheetml/2006/main" count="765" uniqueCount="94">
  <si>
    <t>id_transaksi</t>
  </si>
  <si>
    <t>nama_cabang</t>
  </si>
  <si>
    <t>kota</t>
  </si>
  <si>
    <t>region</t>
  </si>
  <si>
    <t>nama_produk</t>
  </si>
  <si>
    <t>kategori</t>
  </si>
  <si>
    <t>jenis_kelamin</t>
  </si>
  <si>
    <t>golongan_umur</t>
  </si>
  <si>
    <t>tanggal</t>
  </si>
  <si>
    <t>bulan</t>
  </si>
  <si>
    <t>tahun</t>
  </si>
  <si>
    <t>kuartal</t>
  </si>
  <si>
    <t>jumlah</t>
  </si>
  <si>
    <t>total_harga</t>
  </si>
  <si>
    <t>Cabang A</t>
  </si>
  <si>
    <t>Jakarta</t>
  </si>
  <si>
    <t>Barat</t>
  </si>
  <si>
    <t>Nasi Goreng</t>
  </si>
  <si>
    <t>Makanan</t>
  </si>
  <si>
    <t>L</t>
  </si>
  <si>
    <t>Dewasa</t>
  </si>
  <si>
    <t>Popcorn</t>
  </si>
  <si>
    <t>Snack</t>
  </si>
  <si>
    <t>Cappuccino</t>
  </si>
  <si>
    <t>Minuman</t>
  </si>
  <si>
    <t>Nasi Padang</t>
  </si>
  <si>
    <t>Lansia</t>
  </si>
  <si>
    <t>Ayam Geprek</t>
  </si>
  <si>
    <t>Jus Mangga</t>
  </si>
  <si>
    <t>Nasi Kuning</t>
  </si>
  <si>
    <t>P</t>
  </si>
  <si>
    <t>Es Coklat</t>
  </si>
  <si>
    <t>Gado-Gado</t>
  </si>
  <si>
    <t>Milkshake Coklat</t>
  </si>
  <si>
    <t>Soto Ayam</t>
  </si>
  <si>
    <t>Ikan Goreng</t>
  </si>
  <si>
    <t>Cireng</t>
  </si>
  <si>
    <t>Cheesecake</t>
  </si>
  <si>
    <t>Mie Ayam</t>
  </si>
  <si>
    <t>Wafer</t>
  </si>
  <si>
    <t>Teh Tarik</t>
  </si>
  <si>
    <t>Martabak Mini</t>
  </si>
  <si>
    <t>Jus Jeruk</t>
  </si>
  <si>
    <t>Kacang</t>
  </si>
  <si>
    <t>Jus Alpukat</t>
  </si>
  <si>
    <t>Ayam Penyet</t>
  </si>
  <si>
    <t>Keripik</t>
  </si>
  <si>
    <t>Es Teh</t>
  </si>
  <si>
    <t>Nasi Campur</t>
  </si>
  <si>
    <t>Kerupuk</t>
  </si>
  <si>
    <t>Potato Chips</t>
  </si>
  <si>
    <t>Sate Ayam</t>
  </si>
  <si>
    <t>Biskuit</t>
  </si>
  <si>
    <t>Mie Goreng</t>
  </si>
  <si>
    <t>Batagor</t>
  </si>
  <si>
    <t>Croissant</t>
  </si>
  <si>
    <t>Rendang</t>
  </si>
  <si>
    <t>Cabang B</t>
  </si>
  <si>
    <t>Surabaya</t>
  </si>
  <si>
    <t>Timur</t>
  </si>
  <si>
    <t>Nasi Uduk</t>
  </si>
  <si>
    <t>Teh Botol</t>
  </si>
  <si>
    <t>Remaja</t>
  </si>
  <si>
    <t>Smoothie Strawberry</t>
  </si>
  <si>
    <t>Air Mineral</t>
  </si>
  <si>
    <t>Soda</t>
  </si>
  <si>
    <t>Kopi Latte</t>
  </si>
  <si>
    <t>Siomay</t>
  </si>
  <si>
    <t>Permen</t>
  </si>
  <si>
    <t>Pisang Goreng</t>
  </si>
  <si>
    <t>Kopi</t>
  </si>
  <si>
    <t>Donat</t>
  </si>
  <si>
    <t>Tongseng</t>
  </si>
  <si>
    <t>Coklat</t>
  </si>
  <si>
    <t>Ayam Bakar</t>
  </si>
  <si>
    <t>Brownies</t>
  </si>
  <si>
    <t>Bakso</t>
  </si>
  <si>
    <t>Capcay</t>
  </si>
  <si>
    <t>Cabang C</t>
  </si>
  <si>
    <t>Bandung</t>
  </si>
  <si>
    <t>Pusat</t>
  </si>
  <si>
    <t>Sum of total_harga</t>
  </si>
  <si>
    <t>Row Labels</t>
  </si>
  <si>
    <t>Grand Total</t>
  </si>
  <si>
    <t>Sum of jumlah</t>
  </si>
  <si>
    <t>Count of id_transaksi</t>
  </si>
  <si>
    <t>CABANG DENGAN PENJUALAN TERTINGGI</t>
  </si>
  <si>
    <t>TOTAL PENJUALAN PER BULAN</t>
  </si>
  <si>
    <t>SEGMENT PELANGGAN DENGAN TRANSAKSI TERBANYAK</t>
  </si>
  <si>
    <r>
      <t xml:space="preserve">TOP </t>
    </r>
    <r>
      <rPr>
        <b/>
        <sz val="14"/>
        <color rgb="FF05423D"/>
        <rFont val="Georgia"/>
        <family val="1"/>
      </rPr>
      <t>10</t>
    </r>
    <r>
      <rPr>
        <b/>
        <sz val="12"/>
        <color rgb="FF05423D"/>
        <rFont val="Georgia"/>
        <family val="1"/>
      </rPr>
      <t xml:space="preserve"> PRODUK TERLARIS</t>
    </r>
  </si>
  <si>
    <t>KATEGORI PRODUK PENJUALAN TERBANYAK</t>
  </si>
  <si>
    <t>CABANG DENGAN AKTIVITAS TRANSAKSI TERBANYAK</t>
  </si>
  <si>
    <t>TOTAL REVENUE</t>
  </si>
  <si>
    <t>DASHBOARD PERUSAHAAN RETAIL XYZ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</si>
</sst>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Rp-421]#,##0.00"/>
  </numFmts>
  <fonts count="6" x14ac:knownFonts="1">
    <font>
      <sz val="11"/>
      <color theme="1"/>
      <name val="Calibri"/>
      <family val="2"/>
      <scheme val="minor"/>
    </font>
    <font>
      <b/>
      <sz val="12"/>
      <color rgb="FF05423D"/>
      <name val="Georgia"/>
      <family val="1"/>
    </font>
    <font>
      <b/>
      <sz val="14"/>
      <color rgb="FF05423D"/>
      <name val="Georgia"/>
      <family val="1"/>
    </font>
    <font>
      <b/>
      <sz val="22"/>
      <color rgb="FF05423D"/>
      <name val="Georgia"/>
      <family val="1"/>
    </font>
    <font>
      <b/>
      <sz val="26"/>
      <color rgb="FF05423D"/>
      <name val="Georgia"/>
      <family val="1"/>
    </font>
    <font>
      <b/>
      <sz val="36"/>
      <color theme="0"/>
      <name val="Georgia"/>
      <family val="1"/>
    </font>
  </fonts>
  <fills count="6">
    <fill>
      <patternFill patternType="none"/>
    </fill>
    <fill>
      <patternFill patternType="gray125"/>
    </fill>
    <fill>
      <patternFill patternType="solid">
        <fgColor rgb="FF7EE6DF"/>
        <bgColor indexed="64"/>
      </patternFill>
    </fill>
    <fill>
      <patternFill patternType="solid">
        <fgColor rgb="FF35C1B0"/>
        <bgColor indexed="64"/>
      </patternFill>
    </fill>
    <fill>
      <patternFill patternType="solid">
        <fgColor rgb="FFD0F8F0"/>
        <bgColor indexed="64"/>
      </patternFill>
    </fill>
    <fill>
      <patternFill patternType="solid">
        <fgColor rgb="FF0A847A"/>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5" fillId="5" borderId="0" xfId="0" applyFont="1" applyFill="1" applyAlignment="1">
      <alignment horizontal="center" vertical="center"/>
    </xf>
    <xf numFmtId="0" fontId="4" fillId="2" borderId="0" xfId="0" applyFont="1" applyFill="1" applyAlignment="1">
      <alignment horizontal="center" vertical="center" wrapText="1"/>
    </xf>
    <xf numFmtId="164" fontId="3" fillId="4" borderId="0" xfId="0" applyNumberFormat="1" applyFont="1" applyFill="1" applyAlignment="1">
      <alignment horizontal="center" vertical="center"/>
    </xf>
    <xf numFmtId="0" fontId="1" fillId="3" borderId="0" xfId="0" applyFont="1" applyFill="1" applyAlignment="1">
      <alignment horizontal="center" vertical="center"/>
    </xf>
  </cellXfs>
  <cellStyles count="1">
    <cellStyle name="Normal" xfId="0" builtinId="0"/>
  </cellStyles>
  <dxfs count="40">
    <dxf>
      <numFmt numFmtId="164" formatCode="[$Rp-421]#,##0.00"/>
    </dxf>
    <dxf>
      <numFmt numFmtId="164" formatCode="[$Rp-421]#,##0.00"/>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Rp-421]#,##0.00"/>
    </dxf>
    <dxf>
      <numFmt numFmtId="164" formatCode="[$Rp-421]#,##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Rp-421]#,##0.00"/>
    </dxf>
    <dxf>
      <numFmt numFmtId="164" formatCode="[$Rp-421]#,##0.00"/>
    </dxf>
    <dxf>
      <font>
        <b/>
        <i val="0"/>
        <color rgb="FF05423D"/>
        <name val="Georgia"/>
        <family val="1"/>
        <scheme val="none"/>
      </font>
      <border>
        <left style="thin">
          <color rgb="FF05423D"/>
        </left>
        <right style="thin">
          <color rgb="FF05423D"/>
        </right>
        <top style="thin">
          <color rgb="FF05423D"/>
        </top>
        <bottom style="thin">
          <color rgb="FF05423D"/>
        </bottom>
        <vertical/>
        <horizontal/>
      </border>
    </dxf>
    <dxf>
      <font>
        <color rgb="FF05423D"/>
        <name val="Georgia"/>
        <family val="1"/>
      </font>
      <border>
        <left style="thin">
          <color rgb="FF05423D"/>
        </left>
        <right style="thin">
          <color rgb="FF05423D"/>
        </right>
        <top style="thin">
          <color rgb="FF05423D"/>
        </top>
        <bottom style="thin">
          <color rgb="FF05423D"/>
        </bottom>
        <vertical/>
        <horizontal/>
      </border>
    </dxf>
    <dxf>
      <fill>
        <patternFill>
          <bgColor rgb="FF21C9A1"/>
        </patternFill>
      </fill>
    </dxf>
  </dxfs>
  <tableStyles count="3" defaultTableStyle="TableStyleMedium2" defaultPivotStyle="PivotStyleLight16">
    <tableStyle name="Slicer Style 1" pivot="0" table="0" count="1" xr9:uid="{D75BBD11-E614-4563-8BD0-C9B6F27B1D7C}">
      <tableStyleElement type="wholeTable" dxfId="39"/>
    </tableStyle>
    <tableStyle name="Slicer Style 2" pivot="0" table="0" count="1" xr9:uid="{3B53EB5E-EBB2-4FA0-A284-0AE413D3CE8A}"/>
    <tableStyle name="SlicerStyleLight1 2" pivot="0" table="0" count="10" xr9:uid="{5EBD3C7A-EF82-4AF2-A75C-DB7570990DD3}">
      <tableStyleElement type="wholeTable" dxfId="38"/>
      <tableStyleElement type="headerRow" dxfId="37"/>
    </tableStyle>
  </tableStyles>
  <colors>
    <mruColors>
      <color rgb="FF07635B"/>
      <color rgb="FF35C1B0"/>
      <color rgb="FF0CA599"/>
      <color rgb="FF25D9B7"/>
      <color rgb="FF1CA48A"/>
      <color rgb="FF0A847A"/>
      <color rgb="FF42DBD0"/>
      <color rgb="FF92F6EE"/>
      <color rgb="FF54E2C7"/>
      <color rgb="FF7EE6DF"/>
    </mruColors>
  </colors>
  <extLst>
    <ext xmlns:x14="http://schemas.microsoft.com/office/spreadsheetml/2009/9/main" uri="{46F421CA-312F-682f-3DD2-61675219B42D}">
      <x14:dxfs count="9">
        <dxf>
          <font>
            <color rgb="FF05423D"/>
            <name val="Georgia"/>
            <family val="1"/>
          </font>
          <fill>
            <gradientFill degree="90">
              <stop position="0">
                <color rgb="FF21C9A1"/>
              </stop>
              <stop position="1">
                <color rgb="FFD0F8F0"/>
              </stop>
            </gradientFill>
          </fill>
          <border>
            <left style="thin">
              <color rgb="FF05423D"/>
            </left>
            <right style="thin">
              <color rgb="FF05423D"/>
            </right>
            <top style="thin">
              <color rgb="FF05423D"/>
            </top>
            <bottom style="thin">
              <color rgb="FF05423D"/>
            </bottom>
            <vertical/>
            <horizontal/>
          </border>
        </dxf>
        <dxf>
          <font>
            <color rgb="FF05423D"/>
            <name val="Georgia"/>
            <family val="1"/>
          </font>
          <fill>
            <gradientFill degree="90">
              <stop position="0">
                <color rgb="FF21C9A1"/>
              </stop>
              <stop position="1">
                <color rgb="FFD0F8F0"/>
              </stop>
            </gradientFill>
          </fill>
          <border>
            <left style="thin">
              <color rgb="FF05423D"/>
            </left>
            <right style="thin">
              <color rgb="FF05423D"/>
            </right>
            <top style="thin">
              <color rgb="FF05423D"/>
            </top>
            <bottom style="thin">
              <color rgb="FF05423D"/>
            </bottom>
            <vertical/>
            <horizontal/>
          </border>
        </dxf>
        <dxf>
          <font>
            <color rgb="FF05423D"/>
            <name val="Georgia"/>
            <family val="1"/>
          </font>
          <fill>
            <gradientFill degree="90">
              <stop position="0">
                <color theme="0"/>
              </stop>
              <stop position="1">
                <color rgb="FF21C9A1"/>
              </stop>
            </gradientFill>
          </fill>
          <border>
            <left style="thin">
              <color rgb="FF05423D"/>
            </left>
            <right style="thin">
              <color rgb="FF05423D"/>
            </right>
            <top style="thin">
              <color rgb="FF05423D"/>
            </top>
            <bottom style="thin">
              <color rgb="FF05423D"/>
            </bottom>
            <vertical/>
            <horizontal/>
          </border>
        </dxf>
        <dxf>
          <font>
            <color rgb="FF05423D"/>
            <name val="Georgia"/>
            <family val="1"/>
          </font>
          <fill>
            <gradientFill degree="90">
              <stop position="0">
                <color rgb="FF21C9A1"/>
              </stop>
              <stop position="1">
                <color rgb="FFD0F8F0"/>
              </stop>
            </gradientFill>
          </fill>
          <border>
            <left style="thin">
              <color rgb="FF05423D"/>
            </left>
            <right style="thin">
              <color rgb="FF05423D"/>
            </right>
            <top style="thin">
              <color rgb="FF05423D"/>
            </top>
            <bottom style="thin">
              <color rgb="FF05423D"/>
            </bottom>
            <vertical/>
            <horizontal/>
          </border>
        </dxf>
        <dxf>
          <font>
            <color rgb="FF05423D"/>
            <name val="Georgia"/>
            <family val="1"/>
          </font>
          <fill>
            <gradientFill degree="90">
              <stop position="0">
                <color theme="0"/>
              </stop>
              <stop position="1">
                <color rgb="FF7EE6DF"/>
              </stop>
            </gradientFill>
          </fill>
          <border>
            <left style="thin">
              <color rgb="FF05423D"/>
            </left>
            <right style="thin">
              <color rgb="FF05423D"/>
            </right>
            <top style="thin">
              <color rgb="FF05423D"/>
            </top>
            <bottom style="thin">
              <color rgb="FF05423D"/>
            </bottom>
            <vertical/>
            <horizontal/>
          </border>
        </dxf>
        <dxf>
          <font>
            <b val="0"/>
            <i val="0"/>
            <color rgb="FF05423D"/>
            <name val="Georgia"/>
            <family val="1"/>
          </font>
          <fill>
            <gradientFill degree="90">
              <stop position="0">
                <color rgb="FF35C1B0"/>
              </stop>
              <stop position="1">
                <color rgb="FF35C1B0"/>
              </stop>
            </gradientFill>
          </fill>
          <border diagonalUp="0" diagonalDown="0">
            <left style="thin">
              <color rgb="FF05423D"/>
            </left>
            <right style="thin">
              <color rgb="FF05423D"/>
            </right>
            <top style="thin">
              <color rgb="FF05423D"/>
            </top>
            <bottom style="thin">
              <color rgb="FF05423D"/>
            </bottom>
            <vertical/>
            <horizontal/>
          </border>
        </dxf>
        <dxf>
          <font>
            <color rgb="FF05423D"/>
            <name val="Georgia"/>
            <family val="1"/>
          </font>
          <fill>
            <patternFill patternType="solid">
              <fgColor rgb="FFFFFFFF"/>
              <bgColor rgb="FFFFFFFF"/>
            </patternFill>
          </fill>
          <border>
            <left style="thin">
              <color rgb="FF05423D"/>
            </left>
            <right style="thin">
              <color rgb="FF05423D"/>
            </right>
            <top style="thin">
              <color rgb="FF05423D"/>
            </top>
            <bottom style="thin">
              <color rgb="FF05423D"/>
            </bottom>
            <vertical/>
            <horizontal/>
          </border>
        </dxf>
        <dxf>
          <font>
            <color rgb="FF05423D"/>
            <name val="Georgia"/>
            <family val="1"/>
            <scheme val="none"/>
          </font>
          <fill>
            <patternFill patternType="solid">
              <fgColor rgb="FFFFFFFF"/>
              <bgColor rgb="FFFFFFFF"/>
            </patternFill>
          </fill>
          <border>
            <left style="thin">
              <color rgb="FF05423D"/>
            </left>
            <right style="thin">
              <color rgb="FF05423D"/>
            </right>
            <top style="thin">
              <color rgb="FF05423D"/>
            </top>
            <bottom style="thin">
              <color rgb="FF05423D"/>
            </bottom>
            <vertical/>
            <horizontal/>
          </border>
        </dxf>
        <dxf>
          <fill>
            <patternFill>
              <bgColor rgb="FF00206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[retail_xyz.xlsx]Sheet2!PivotTable2</c:name>
    <c:fmtId val="7"/>
  </c:pivotSource>
  <c:chart>
    <c:autoTitleDeleted val="1"/>
    <c:pivotFmts>
      <c:pivotFmt>
        <c:idx val="0"/>
        <c:spPr>
          <a:solidFill>
            <a:srgbClr val="07635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5423D"/>
                  </a:solidFill>
                  <a:latin typeface="Georgia" panose="02040502050405020303" pitchFamily="18" charset="0"/>
                  <a:ea typeface="+mn-ea"/>
                  <a:cs typeface="Helvetica"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A847A"/>
          </a:solidFill>
          <a:ln>
            <a:noFill/>
          </a:ln>
          <a:effectLst>
            <a:outerShdw blurRad="57150" dist="19050" dir="5400000" algn="ctr" rotWithShape="0">
              <a:srgbClr val="000000">
                <a:alpha val="63000"/>
              </a:srgbClr>
            </a:outerShdw>
          </a:effectLst>
        </c:spPr>
      </c:pivotFmt>
      <c:pivotFmt>
        <c:idx val="2"/>
        <c:spPr>
          <a:solidFill>
            <a:srgbClr val="0CA599"/>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Sheet2!$B$7</c:f>
              <c:strCache>
                <c:ptCount val="1"/>
                <c:pt idx="0">
                  <c:v>Total</c:v>
                </c:pt>
              </c:strCache>
            </c:strRef>
          </c:tx>
          <c:spPr>
            <a:solidFill>
              <a:srgbClr val="07635B"/>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0CA5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ABE0-4861-BF02-8CCBE4940EEF}"/>
              </c:ext>
            </c:extLst>
          </c:dPt>
          <c:dPt>
            <c:idx val="1"/>
            <c:invertIfNegative val="0"/>
            <c:bubble3D val="0"/>
            <c:spPr>
              <a:solidFill>
                <a:srgbClr val="0A847A"/>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BE0-4861-BF02-8CCBE4940EEF}"/>
              </c:ext>
            </c:extLst>
          </c:dPt>
          <c:dPt>
            <c:idx val="2"/>
            <c:invertIfNegative val="0"/>
            <c:bubble3D val="0"/>
            <c:spPr>
              <a:solidFill>
                <a:srgbClr val="0A847A"/>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BE0-4861-BF02-8CCBE4940E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5423D"/>
                    </a:solidFill>
                    <a:latin typeface="Georgia" panose="02040502050405020303" pitchFamily="18" charset="0"/>
                    <a:ea typeface="+mn-ea"/>
                    <a:cs typeface="Helvetica"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Sheet2!$A$8:$A$11</c:f>
              <c:strCache>
                <c:ptCount val="3"/>
                <c:pt idx="0">
                  <c:v>Cabang A</c:v>
                </c:pt>
                <c:pt idx="1">
                  <c:v>Cabang B</c:v>
                </c:pt>
                <c:pt idx="2">
                  <c:v>Cabang C</c:v>
                </c:pt>
              </c:strCache>
            </c:strRef>
          </c:cat>
          <c:val>
            <c:numRef>
              <c:f>Sheet2!$B$8:$B$11</c:f>
              <c:numCache>
                <c:formatCode>[$Rp-421]#,##0.00</c:formatCode>
                <c:ptCount val="3"/>
                <c:pt idx="0">
                  <c:v>838000</c:v>
                </c:pt>
                <c:pt idx="1">
                  <c:v>887000</c:v>
                </c:pt>
                <c:pt idx="2">
                  <c:v>841000</c:v>
                </c:pt>
              </c:numCache>
            </c:numRef>
          </c:val>
          <c:extLst>
            <c:ext xmlns:c16="http://schemas.microsoft.com/office/drawing/2014/chart" uri="{C3380CC4-5D6E-409C-BE32-E72D297353CC}">
              <c16:uniqueId val="{00000000-ABE0-4861-BF02-8CCBE4940EEF}"/>
            </c:ext>
          </c:extLst>
        </c:ser>
        <c:dLbls>
          <c:showLegendKey val="0"/>
          <c:showVal val="1"/>
          <c:showCatName val="0"/>
          <c:showSerName val="0"/>
          <c:showPercent val="0"/>
          <c:showBubbleSize val="0"/>
        </c:dLbls>
        <c:gapWidth val="75"/>
        <c:axId val="1725131792"/>
        <c:axId val="1725130832"/>
      </c:barChart>
      <c:catAx>
        <c:axId val="1725131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Helvetica" panose="020B0604020202020204" pitchFamily="34" charset="0"/>
              </a:defRPr>
            </a:pPr>
            <a:endParaRPr lang="en-US"/>
          </a:p>
        </c:txPr>
        <c:crossAx val="1725130832"/>
        <c:crosses val="autoZero"/>
        <c:auto val="1"/>
        <c:lblAlgn val="ctr"/>
        <c:lblOffset val="100"/>
        <c:noMultiLvlLbl val="0"/>
      </c:catAx>
      <c:valAx>
        <c:axId val="1725130832"/>
        <c:scaling>
          <c:orientation val="minMax"/>
        </c:scaling>
        <c:delete val="0"/>
        <c:axPos val="l"/>
        <c:numFmt formatCode="[$Rp-421]#,##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Helvetica" panose="020B0604020202020204" pitchFamily="34" charset="0"/>
              </a:defRPr>
            </a:pPr>
            <a:endParaRPr lang="en-US"/>
          </a:p>
        </c:txPr>
        <c:crossAx val="1725131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Helvetica"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0F8F0"/>
    </a:solidFill>
    <a:ln w="9525" cap="flat" cmpd="sng" algn="ctr">
      <a:solidFill>
        <a:schemeClr val="tx1">
          <a:lumMod val="15000"/>
          <a:lumOff val="85000"/>
        </a:schemeClr>
      </a:solidFill>
      <a:round/>
    </a:ln>
    <a:effectLst/>
  </c:spPr>
  <c:txPr>
    <a:bodyPr/>
    <a:lstStyle/>
    <a:p>
      <a:pPr>
        <a:defRPr>
          <a:solidFill>
            <a:srgbClr val="05423D"/>
          </a:solidFill>
          <a:latin typeface="Georgia" panose="02040502050405020303" pitchFamily="18" charset="0"/>
          <a:cs typeface="Helvetica"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[retail_xyz.xlsx]Sheet2!PivotTable3</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5423D"/>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7635B"/>
          </a:solidFill>
          <a:ln>
            <a:noFill/>
          </a:ln>
          <a:effectLst/>
        </c:spPr>
      </c:pivotFmt>
      <c:pivotFmt>
        <c:idx val="2"/>
        <c:spPr>
          <a:solidFill>
            <a:srgbClr val="0A847A"/>
          </a:solidFill>
          <a:ln>
            <a:noFill/>
          </a:ln>
          <a:effectLst/>
        </c:spPr>
      </c:pivotFmt>
      <c:pivotFmt>
        <c:idx val="3"/>
        <c:spPr>
          <a:solidFill>
            <a:srgbClr val="0A847A"/>
          </a:solidFill>
          <a:ln>
            <a:noFill/>
          </a:ln>
          <a:effectLst/>
        </c:spPr>
      </c:pivotFmt>
      <c:pivotFmt>
        <c:idx val="4"/>
        <c:spPr>
          <a:solidFill>
            <a:srgbClr val="35C1B0"/>
          </a:solidFill>
          <a:ln>
            <a:noFill/>
          </a:ln>
          <a:effectLst/>
        </c:spPr>
      </c:pivotFmt>
      <c:pivotFmt>
        <c:idx val="5"/>
        <c:spPr>
          <a:solidFill>
            <a:srgbClr val="0CA599"/>
          </a:solidFill>
          <a:ln>
            <a:noFill/>
          </a:ln>
          <a:effectLst/>
        </c:spPr>
      </c:pivotFmt>
      <c:pivotFmt>
        <c:idx val="6"/>
        <c:spPr>
          <a:solidFill>
            <a:srgbClr val="35C1B0"/>
          </a:solidFill>
          <a:ln>
            <a:noFill/>
          </a:ln>
          <a:effectLst/>
        </c:spPr>
      </c:pivotFmt>
      <c:pivotFmt>
        <c:idx val="7"/>
        <c:spPr>
          <a:solidFill>
            <a:srgbClr val="35C1B0"/>
          </a:solidFill>
          <a:ln>
            <a:noFill/>
          </a:ln>
          <a:effectLst/>
        </c:spPr>
      </c:pivotFmt>
      <c:pivotFmt>
        <c:idx val="8"/>
        <c:spPr>
          <a:solidFill>
            <a:srgbClr val="35C1B0"/>
          </a:solidFill>
          <a:ln>
            <a:noFill/>
          </a:ln>
          <a:effectLst/>
        </c:spPr>
      </c:pivotFmt>
      <c:pivotFmt>
        <c:idx val="9"/>
        <c:spPr>
          <a:solidFill>
            <a:srgbClr val="35C1B0"/>
          </a:solidFill>
          <a:ln>
            <a:noFill/>
          </a:ln>
          <a:effectLst/>
        </c:spPr>
      </c:pivotFmt>
      <c:pivotFmt>
        <c:idx val="10"/>
        <c:spPr>
          <a:solidFill>
            <a:srgbClr val="35C1B0"/>
          </a:solidFill>
          <a:ln>
            <a:noFill/>
          </a:ln>
          <a:effectLst/>
        </c:spPr>
      </c:pivotFmt>
      <c:pivotFmt>
        <c:idx val="11"/>
        <c:spPr>
          <a:solidFill>
            <a:srgbClr val="35C1B0"/>
          </a:solidFill>
          <a:ln>
            <a:noFill/>
          </a:ln>
          <a:effectLst/>
        </c:spPr>
      </c:pivotFmt>
      <c:pivotFmt>
        <c:idx val="12"/>
        <c:spPr>
          <a:solidFill>
            <a:srgbClr val="35C1B0"/>
          </a:solidFill>
          <a:ln>
            <a:noFill/>
          </a:ln>
          <a:effectLst/>
        </c:spPr>
      </c:pivotFmt>
      <c:pivotFmt>
        <c:idx val="13"/>
        <c:spPr>
          <a:solidFill>
            <a:srgbClr val="0FC6B6"/>
          </a:solidFill>
          <a:ln>
            <a:noFill/>
          </a:ln>
          <a:effectLst/>
        </c:spPr>
      </c:pivotFmt>
    </c:pivotFmts>
    <c:plotArea>
      <c:layout/>
      <c:barChart>
        <c:barDir val="bar"/>
        <c:grouping val="stacked"/>
        <c:varyColors val="0"/>
        <c:ser>
          <c:idx val="0"/>
          <c:order val="0"/>
          <c:tx>
            <c:strRef>
              <c:f>Sheet2!$B$26</c:f>
              <c:strCache>
                <c:ptCount val="1"/>
                <c:pt idx="0">
                  <c:v>Total</c:v>
                </c:pt>
              </c:strCache>
            </c:strRef>
          </c:tx>
          <c:spPr>
            <a:solidFill>
              <a:schemeClr val="accent1"/>
            </a:solidFill>
            <a:ln>
              <a:noFill/>
            </a:ln>
            <a:effectLst/>
          </c:spPr>
          <c:invertIfNegative val="0"/>
          <c:dPt>
            <c:idx val="0"/>
            <c:invertIfNegative val="0"/>
            <c:bubble3D val="0"/>
            <c:spPr>
              <a:solidFill>
                <a:srgbClr val="07635B"/>
              </a:solidFill>
              <a:ln>
                <a:noFill/>
              </a:ln>
              <a:effectLst/>
            </c:spPr>
            <c:extLst>
              <c:ext xmlns:c16="http://schemas.microsoft.com/office/drawing/2014/chart" uri="{C3380CC4-5D6E-409C-BE32-E72D297353CC}">
                <c16:uniqueId val="{00000002-F79F-4B28-8B41-3D1272227D63}"/>
              </c:ext>
            </c:extLst>
          </c:dPt>
          <c:dPt>
            <c:idx val="1"/>
            <c:invertIfNegative val="0"/>
            <c:bubble3D val="0"/>
            <c:spPr>
              <a:solidFill>
                <a:srgbClr val="0A847A"/>
              </a:solidFill>
              <a:ln>
                <a:noFill/>
              </a:ln>
              <a:effectLst/>
            </c:spPr>
            <c:extLst>
              <c:ext xmlns:c16="http://schemas.microsoft.com/office/drawing/2014/chart" uri="{C3380CC4-5D6E-409C-BE32-E72D297353CC}">
                <c16:uniqueId val="{00000003-F79F-4B28-8B41-3D1272227D63}"/>
              </c:ext>
            </c:extLst>
          </c:dPt>
          <c:dPt>
            <c:idx val="2"/>
            <c:invertIfNegative val="0"/>
            <c:bubble3D val="0"/>
            <c:spPr>
              <a:solidFill>
                <a:srgbClr val="0A847A"/>
              </a:solidFill>
              <a:ln>
                <a:noFill/>
              </a:ln>
              <a:effectLst/>
            </c:spPr>
            <c:extLst>
              <c:ext xmlns:c16="http://schemas.microsoft.com/office/drawing/2014/chart" uri="{C3380CC4-5D6E-409C-BE32-E72D297353CC}">
                <c16:uniqueId val="{00000004-F79F-4B28-8B41-3D1272227D63}"/>
              </c:ext>
            </c:extLst>
          </c:dPt>
          <c:dPt>
            <c:idx val="3"/>
            <c:invertIfNegative val="0"/>
            <c:bubble3D val="0"/>
            <c:spPr>
              <a:solidFill>
                <a:srgbClr val="35C1B0"/>
              </a:solidFill>
              <a:ln>
                <a:noFill/>
              </a:ln>
              <a:effectLst/>
            </c:spPr>
            <c:extLst>
              <c:ext xmlns:c16="http://schemas.microsoft.com/office/drawing/2014/chart" uri="{C3380CC4-5D6E-409C-BE32-E72D297353CC}">
                <c16:uniqueId val="{00000005-F79F-4B28-8B41-3D1272227D63}"/>
              </c:ext>
            </c:extLst>
          </c:dPt>
          <c:dPt>
            <c:idx val="4"/>
            <c:invertIfNegative val="0"/>
            <c:bubble3D val="0"/>
            <c:spPr>
              <a:solidFill>
                <a:srgbClr val="0CA599"/>
              </a:solidFill>
              <a:ln>
                <a:noFill/>
              </a:ln>
              <a:effectLst/>
            </c:spPr>
            <c:extLst>
              <c:ext xmlns:c16="http://schemas.microsoft.com/office/drawing/2014/chart" uri="{C3380CC4-5D6E-409C-BE32-E72D297353CC}">
                <c16:uniqueId val="{00000006-F79F-4B28-8B41-3D1272227D63}"/>
              </c:ext>
            </c:extLst>
          </c:dPt>
          <c:dPt>
            <c:idx val="5"/>
            <c:invertIfNegative val="0"/>
            <c:bubble3D val="0"/>
            <c:spPr>
              <a:solidFill>
                <a:srgbClr val="35C1B0"/>
              </a:solidFill>
              <a:ln>
                <a:noFill/>
              </a:ln>
              <a:effectLst/>
            </c:spPr>
            <c:extLst>
              <c:ext xmlns:c16="http://schemas.microsoft.com/office/drawing/2014/chart" uri="{C3380CC4-5D6E-409C-BE32-E72D297353CC}">
                <c16:uniqueId val="{00000007-F79F-4B28-8B41-3D1272227D63}"/>
              </c:ext>
            </c:extLst>
          </c:dPt>
          <c:dPt>
            <c:idx val="6"/>
            <c:invertIfNegative val="0"/>
            <c:bubble3D val="0"/>
            <c:spPr>
              <a:solidFill>
                <a:srgbClr val="35C1B0"/>
              </a:solidFill>
              <a:ln>
                <a:noFill/>
              </a:ln>
              <a:effectLst/>
            </c:spPr>
            <c:extLst>
              <c:ext xmlns:c16="http://schemas.microsoft.com/office/drawing/2014/chart" uri="{C3380CC4-5D6E-409C-BE32-E72D297353CC}">
                <c16:uniqueId val="{00000008-F79F-4B28-8B41-3D1272227D63}"/>
              </c:ext>
            </c:extLst>
          </c:dPt>
          <c:dPt>
            <c:idx val="7"/>
            <c:invertIfNegative val="0"/>
            <c:bubble3D val="0"/>
            <c:spPr>
              <a:solidFill>
                <a:srgbClr val="35C1B0"/>
              </a:solidFill>
              <a:ln>
                <a:noFill/>
              </a:ln>
              <a:effectLst/>
            </c:spPr>
            <c:extLst>
              <c:ext xmlns:c16="http://schemas.microsoft.com/office/drawing/2014/chart" uri="{C3380CC4-5D6E-409C-BE32-E72D297353CC}">
                <c16:uniqueId val="{00000009-F79F-4B28-8B41-3D1272227D63}"/>
              </c:ext>
            </c:extLst>
          </c:dPt>
          <c:dPt>
            <c:idx val="8"/>
            <c:invertIfNegative val="0"/>
            <c:bubble3D val="0"/>
            <c:spPr>
              <a:solidFill>
                <a:srgbClr val="35C1B0"/>
              </a:solidFill>
              <a:ln>
                <a:noFill/>
              </a:ln>
              <a:effectLst/>
            </c:spPr>
            <c:extLst>
              <c:ext xmlns:c16="http://schemas.microsoft.com/office/drawing/2014/chart" uri="{C3380CC4-5D6E-409C-BE32-E72D297353CC}">
                <c16:uniqueId val="{0000000A-F79F-4B28-8B41-3D1272227D63}"/>
              </c:ext>
            </c:extLst>
          </c:dPt>
          <c:dPt>
            <c:idx val="9"/>
            <c:invertIfNegative val="0"/>
            <c:bubble3D val="0"/>
            <c:spPr>
              <a:solidFill>
                <a:srgbClr val="35C1B0"/>
              </a:solidFill>
              <a:ln>
                <a:noFill/>
              </a:ln>
              <a:effectLst/>
            </c:spPr>
            <c:extLst>
              <c:ext xmlns:c16="http://schemas.microsoft.com/office/drawing/2014/chart" uri="{C3380CC4-5D6E-409C-BE32-E72D297353CC}">
                <c16:uniqueId val="{0000000B-F79F-4B28-8B41-3D1272227D63}"/>
              </c:ext>
            </c:extLst>
          </c:dPt>
          <c:dPt>
            <c:idx val="10"/>
            <c:invertIfNegative val="0"/>
            <c:bubble3D val="0"/>
            <c:spPr>
              <a:solidFill>
                <a:srgbClr val="35C1B0"/>
              </a:solidFill>
              <a:ln>
                <a:noFill/>
              </a:ln>
              <a:effectLst/>
            </c:spPr>
            <c:extLst>
              <c:ext xmlns:c16="http://schemas.microsoft.com/office/drawing/2014/chart" uri="{C3380CC4-5D6E-409C-BE32-E72D297353CC}">
                <c16:uniqueId val="{0000000C-F79F-4B28-8B41-3D1272227D63}"/>
              </c:ext>
            </c:extLst>
          </c:dPt>
          <c:dPt>
            <c:idx val="11"/>
            <c:invertIfNegative val="0"/>
            <c:bubble3D val="0"/>
            <c:spPr>
              <a:solidFill>
                <a:srgbClr val="35C1B0"/>
              </a:solidFill>
              <a:ln>
                <a:noFill/>
              </a:ln>
              <a:effectLst/>
            </c:spPr>
            <c:extLst>
              <c:ext xmlns:c16="http://schemas.microsoft.com/office/drawing/2014/chart" uri="{C3380CC4-5D6E-409C-BE32-E72D297353CC}">
                <c16:uniqueId val="{0000000D-F79F-4B28-8B41-3D1272227D63}"/>
              </c:ext>
            </c:extLst>
          </c:dPt>
          <c:cat>
            <c:strRef>
              <c:f>Sheet2!$A$27:$A$39</c:f>
              <c:strCache>
                <c:ptCount val="12"/>
                <c:pt idx="0">
                  <c:v>Permen</c:v>
                </c:pt>
                <c:pt idx="1">
                  <c:v>Kerupuk</c:v>
                </c:pt>
                <c:pt idx="2">
                  <c:v>Air Mineral</c:v>
                </c:pt>
                <c:pt idx="3">
                  <c:v>Nasi Goreng</c:v>
                </c:pt>
                <c:pt idx="4">
                  <c:v>Teh Botol</c:v>
                </c:pt>
                <c:pt idx="5">
                  <c:v>Donat</c:v>
                </c:pt>
                <c:pt idx="6">
                  <c:v>Biskuit</c:v>
                </c:pt>
                <c:pt idx="7">
                  <c:v>Capcay</c:v>
                </c:pt>
                <c:pt idx="8">
                  <c:v>Potato Chips</c:v>
                </c:pt>
                <c:pt idx="9">
                  <c:v>Soda</c:v>
                </c:pt>
                <c:pt idx="10">
                  <c:v>Jus Jeruk</c:v>
                </c:pt>
                <c:pt idx="11">
                  <c:v>Martabak Mini</c:v>
                </c:pt>
              </c:strCache>
            </c:strRef>
          </c:cat>
          <c:val>
            <c:numRef>
              <c:f>Sheet2!$B$27:$B$39</c:f>
              <c:numCache>
                <c:formatCode>General</c:formatCode>
                <c:ptCount val="12"/>
                <c:pt idx="0">
                  <c:v>10</c:v>
                </c:pt>
                <c:pt idx="1">
                  <c:v>8</c:v>
                </c:pt>
                <c:pt idx="2">
                  <c:v>8</c:v>
                </c:pt>
                <c:pt idx="3">
                  <c:v>8</c:v>
                </c:pt>
                <c:pt idx="4">
                  <c:v>7</c:v>
                </c:pt>
                <c:pt idx="5">
                  <c:v>6</c:v>
                </c:pt>
                <c:pt idx="6">
                  <c:v>6</c:v>
                </c:pt>
                <c:pt idx="7">
                  <c:v>6</c:v>
                </c:pt>
                <c:pt idx="8">
                  <c:v>6</c:v>
                </c:pt>
                <c:pt idx="9">
                  <c:v>6</c:v>
                </c:pt>
                <c:pt idx="10">
                  <c:v>6</c:v>
                </c:pt>
                <c:pt idx="11">
                  <c:v>6</c:v>
                </c:pt>
              </c:numCache>
            </c:numRef>
          </c:val>
          <c:extLst>
            <c:ext xmlns:c16="http://schemas.microsoft.com/office/drawing/2014/chart" uri="{C3380CC4-5D6E-409C-BE32-E72D297353CC}">
              <c16:uniqueId val="{00000000-F79F-4B28-8B41-3D1272227D63}"/>
            </c:ext>
          </c:extLst>
        </c:ser>
        <c:dLbls>
          <c:showLegendKey val="0"/>
          <c:showVal val="0"/>
          <c:showCatName val="0"/>
          <c:showSerName val="0"/>
          <c:showPercent val="0"/>
          <c:showBubbleSize val="0"/>
        </c:dLbls>
        <c:gapWidth val="150"/>
        <c:overlap val="100"/>
        <c:axId val="554012208"/>
        <c:axId val="554017968"/>
      </c:barChart>
      <c:catAx>
        <c:axId val="55401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mn-cs"/>
              </a:defRPr>
            </a:pPr>
            <a:endParaRPr lang="en-US"/>
          </a:p>
        </c:txPr>
        <c:crossAx val="554017968"/>
        <c:crosses val="autoZero"/>
        <c:auto val="1"/>
        <c:lblAlgn val="ctr"/>
        <c:lblOffset val="100"/>
        <c:noMultiLvlLbl val="0"/>
      </c:catAx>
      <c:valAx>
        <c:axId val="554017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mn-cs"/>
              </a:defRPr>
            </a:pPr>
            <a:endParaRPr lang="en-US"/>
          </a:p>
        </c:txPr>
        <c:crossAx val="55401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0F8F0"/>
    </a:solidFill>
    <a:ln w="9525" cap="flat" cmpd="sng" algn="ctr">
      <a:solidFill>
        <a:schemeClr val="tx1">
          <a:lumMod val="15000"/>
          <a:lumOff val="85000"/>
        </a:schemeClr>
      </a:solidFill>
      <a:round/>
    </a:ln>
    <a:effectLst/>
  </c:spPr>
  <c:txPr>
    <a:bodyPr/>
    <a:lstStyle/>
    <a:p>
      <a:pPr>
        <a:defRPr>
          <a:solidFill>
            <a:srgbClr val="05423D"/>
          </a:solidFill>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[retail_xyz.xlsx]Sheet1!PivotTable4</c:name>
    <c:fmtId val="29"/>
  </c:pivotSource>
  <c:chart>
    <c:autoTitleDeleted val="1"/>
    <c:pivotFmts>
      <c:pivotFmt>
        <c:idx val="0"/>
        <c:spPr>
          <a:ln w="28575" cap="rnd">
            <a:solidFill>
              <a:srgbClr val="0CA599"/>
            </a:solidFill>
            <a:round/>
          </a:ln>
          <a:effectLst/>
        </c:spPr>
        <c:marker>
          <c:symbol val="circle"/>
          <c:size val="5"/>
          <c:spPr>
            <a:solidFill>
              <a:srgbClr val="05423D"/>
            </a:solidFill>
            <a:ln w="9525">
              <a:solidFill>
                <a:srgbClr val="05423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5423D"/>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CA599"/>
            </a:solidFill>
            <a:round/>
          </a:ln>
          <a:effectLst/>
        </c:spPr>
        <c:marker>
          <c:symbol val="circle"/>
          <c:size val="5"/>
          <c:spPr>
            <a:solidFill>
              <a:srgbClr val="05423D"/>
            </a:solidFill>
            <a:ln w="9525">
              <a:solidFill>
                <a:srgbClr val="05423D"/>
              </a:solidFill>
            </a:ln>
            <a:effectLst/>
          </c:spPr>
        </c:marker>
      </c:pivotFmt>
    </c:pivotFmts>
    <c:plotArea>
      <c:layout/>
      <c:lineChart>
        <c:grouping val="standard"/>
        <c:varyColors val="0"/>
        <c:ser>
          <c:idx val="0"/>
          <c:order val="0"/>
          <c:tx>
            <c:strRef>
              <c:f>Sheet1!$C$7</c:f>
              <c:strCache>
                <c:ptCount val="1"/>
                <c:pt idx="0">
                  <c:v>Total</c:v>
                </c:pt>
              </c:strCache>
            </c:strRef>
          </c:tx>
          <c:spPr>
            <a:ln w="28575" cap="rnd">
              <a:solidFill>
                <a:srgbClr val="0CA599"/>
              </a:solidFill>
              <a:round/>
            </a:ln>
            <a:effectLst/>
          </c:spPr>
          <c:marker>
            <c:symbol val="circle"/>
            <c:size val="5"/>
            <c:spPr>
              <a:solidFill>
                <a:srgbClr val="05423D"/>
              </a:solidFill>
              <a:ln w="9525">
                <a:solidFill>
                  <a:srgbClr val="05423D"/>
                </a:solidFill>
              </a:ln>
              <a:effectLst/>
            </c:spPr>
          </c:marker>
          <c:cat>
            <c:strRef>
              <c:f>Sheet1!$B$8:$B$13</c:f>
              <c:strCache>
                <c:ptCount val="5"/>
                <c:pt idx="0">
                  <c:v>1</c:v>
                </c:pt>
                <c:pt idx="1">
                  <c:v>2</c:v>
                </c:pt>
                <c:pt idx="2">
                  <c:v>3</c:v>
                </c:pt>
                <c:pt idx="3">
                  <c:v>4</c:v>
                </c:pt>
                <c:pt idx="4">
                  <c:v>5</c:v>
                </c:pt>
              </c:strCache>
            </c:strRef>
          </c:cat>
          <c:val>
            <c:numRef>
              <c:f>Sheet1!$C$8:$C$13</c:f>
              <c:numCache>
                <c:formatCode>[$Rp-421]#,##0.00</c:formatCode>
                <c:ptCount val="5"/>
                <c:pt idx="0">
                  <c:v>476000</c:v>
                </c:pt>
                <c:pt idx="1">
                  <c:v>488000</c:v>
                </c:pt>
                <c:pt idx="2">
                  <c:v>550000</c:v>
                </c:pt>
                <c:pt idx="3">
                  <c:v>466000</c:v>
                </c:pt>
                <c:pt idx="4">
                  <c:v>586000</c:v>
                </c:pt>
              </c:numCache>
            </c:numRef>
          </c:val>
          <c:smooth val="0"/>
          <c:extLst>
            <c:ext xmlns:c16="http://schemas.microsoft.com/office/drawing/2014/chart" uri="{C3380CC4-5D6E-409C-BE32-E72D297353CC}">
              <c16:uniqueId val="{00000000-BC19-48A5-A322-6A8EB7907895}"/>
            </c:ext>
          </c:extLst>
        </c:ser>
        <c:dLbls>
          <c:showLegendKey val="0"/>
          <c:showVal val="0"/>
          <c:showCatName val="0"/>
          <c:showSerName val="0"/>
          <c:showPercent val="0"/>
          <c:showBubbleSize val="0"/>
        </c:dLbls>
        <c:marker val="1"/>
        <c:smooth val="0"/>
        <c:axId val="554019408"/>
        <c:axId val="554019888"/>
      </c:lineChart>
      <c:catAx>
        <c:axId val="55401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mn-cs"/>
              </a:defRPr>
            </a:pPr>
            <a:endParaRPr lang="en-US"/>
          </a:p>
        </c:txPr>
        <c:crossAx val="554019888"/>
        <c:crosses val="autoZero"/>
        <c:auto val="1"/>
        <c:lblAlgn val="ctr"/>
        <c:lblOffset val="100"/>
        <c:noMultiLvlLbl val="0"/>
      </c:catAx>
      <c:valAx>
        <c:axId val="554019888"/>
        <c:scaling>
          <c:orientation val="minMax"/>
        </c:scaling>
        <c:delete val="0"/>
        <c:axPos val="l"/>
        <c:majorGridlines>
          <c:spPr>
            <a:ln w="9525" cap="flat" cmpd="sng" algn="ctr">
              <a:solidFill>
                <a:schemeClr val="tx1">
                  <a:lumMod val="15000"/>
                  <a:lumOff val="85000"/>
                </a:schemeClr>
              </a:solidFill>
              <a:round/>
            </a:ln>
            <a:effectLst/>
          </c:spPr>
        </c:majorGridlines>
        <c:numFmt formatCode="[$Rp-421]#,##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mn-cs"/>
              </a:defRPr>
            </a:pPr>
            <a:endParaRPr lang="en-US"/>
          </a:p>
        </c:txPr>
        <c:crossAx val="554019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0F8F0"/>
    </a:solidFill>
    <a:ln w="9525" cap="flat" cmpd="sng" algn="ctr">
      <a:solidFill>
        <a:schemeClr val="tx1">
          <a:lumMod val="15000"/>
          <a:lumOff val="85000"/>
        </a:schemeClr>
      </a:solidFill>
      <a:round/>
    </a:ln>
    <a:effectLst/>
  </c:spPr>
  <c:txPr>
    <a:bodyPr/>
    <a:lstStyle/>
    <a:p>
      <a:pPr>
        <a:defRPr>
          <a:solidFill>
            <a:srgbClr val="05423D"/>
          </a:solidFill>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[retail_xyz.xlsx]Sheet2!PivotTable5</c:name>
    <c:fmtId val="3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0A847A"/>
          </a:solidFill>
          <a:ln>
            <a:noFill/>
          </a:ln>
          <a:effectLst/>
          <a:scene3d>
            <a:camera prst="orthographicFront"/>
            <a:lightRig rig="brightRoom" dir="t"/>
          </a:scene3d>
          <a:sp3d prstMaterial="flat">
            <a:bevelT w="50800" h="101600" prst="angle"/>
            <a:contourClr>
              <a:srgbClr val="000000"/>
            </a:contourClr>
          </a:sp3d>
        </c:spPr>
        <c:dLbl>
          <c:idx val="0"/>
          <c:layout>
            <c:manualLayout>
              <c:x val="-0.19153562003789787"/>
              <c:y val="1.55723737324822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rgbClr val="0CA599"/>
          </a:solidFill>
          <a:ln>
            <a:noFill/>
          </a:ln>
          <a:effectLst/>
          <a:scene3d>
            <a:camera prst="orthographicFront"/>
            <a:lightRig rig="brightRoom" dir="t"/>
          </a:scene3d>
          <a:sp3d prstMaterial="flat">
            <a:bevelT w="50800" h="101600" prst="angle"/>
            <a:contourClr>
              <a:srgbClr val="000000"/>
            </a:contourClr>
          </a:sp3d>
        </c:spPr>
        <c:dLbl>
          <c:idx val="0"/>
          <c:layout>
            <c:manualLayout>
              <c:x val="0.12776729277836735"/>
              <c:y val="-0.16411464254634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0703942195069645"/>
          <c:y val="0.30452524163436784"/>
          <c:w val="0.38592115609860711"/>
          <c:h val="0.63565942868570757"/>
        </c:manualLayout>
      </c:layout>
      <c:pieChart>
        <c:varyColors val="1"/>
        <c:ser>
          <c:idx val="0"/>
          <c:order val="0"/>
          <c:tx>
            <c:strRef>
              <c:f>Sheet2!$B$63</c:f>
              <c:strCache>
                <c:ptCount val="1"/>
                <c:pt idx="0">
                  <c:v>Total</c:v>
                </c:pt>
              </c:strCache>
            </c:strRef>
          </c:tx>
          <c:dPt>
            <c:idx val="0"/>
            <c:bubble3D val="0"/>
            <c:spPr>
              <a:solidFill>
                <a:srgbClr val="0A847A"/>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48E-46A4-BC96-2F506CE4178B}"/>
              </c:ext>
            </c:extLst>
          </c:dPt>
          <c:dPt>
            <c:idx val="1"/>
            <c:bubble3D val="0"/>
            <c:spPr>
              <a:solidFill>
                <a:srgbClr val="0CA599"/>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248E-46A4-BC96-2F506CE4178B}"/>
              </c:ext>
            </c:extLst>
          </c:dPt>
          <c:dPt>
            <c:idx val="2"/>
            <c:bubble3D val="0"/>
            <c:spPr>
              <a:solidFill>
                <a:srgbClr val="0A847A"/>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248E-46A4-BC96-2F506CE4178B}"/>
              </c:ext>
            </c:extLst>
          </c:dPt>
          <c:dLbls>
            <c:dLbl>
              <c:idx val="0"/>
              <c:layout>
                <c:manualLayout>
                  <c:x val="-0.19153562003789787"/>
                  <c:y val="1.5572373732482207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48E-46A4-BC96-2F506CE4178B}"/>
                </c:ext>
              </c:extLst>
            </c:dLbl>
            <c:dLbl>
              <c:idx val="1"/>
              <c:layout>
                <c:manualLayout>
                  <c:x val="0.12776729277836735"/>
                  <c:y val="-0.164114642546343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48E-46A4-BC96-2F506CE4178B}"/>
                </c:ext>
              </c:extLst>
            </c:dLbl>
            <c:dLbl>
              <c:idx val="2"/>
              <c:layout>
                <c:manualLayout>
                  <c:x val="0.14686897610091143"/>
                  <c:y val="0.1437966028038730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48E-46A4-BC96-2F506CE4178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Sheet2!$A$64:$A$67</c:f>
              <c:strCache>
                <c:ptCount val="3"/>
                <c:pt idx="0">
                  <c:v>Makanan</c:v>
                </c:pt>
                <c:pt idx="1">
                  <c:v>Minuman</c:v>
                </c:pt>
                <c:pt idx="2">
                  <c:v>Snack</c:v>
                </c:pt>
              </c:strCache>
            </c:strRef>
          </c:cat>
          <c:val>
            <c:numRef>
              <c:f>Sheet2!$B$64:$B$67</c:f>
              <c:numCache>
                <c:formatCode>[$Rp-421]#,##0.00</c:formatCode>
                <c:ptCount val="3"/>
                <c:pt idx="0">
                  <c:v>1239000</c:v>
                </c:pt>
                <c:pt idx="1">
                  <c:v>587000</c:v>
                </c:pt>
                <c:pt idx="2">
                  <c:v>740000</c:v>
                </c:pt>
              </c:numCache>
            </c:numRef>
          </c:val>
          <c:extLst>
            <c:ext xmlns:c16="http://schemas.microsoft.com/office/drawing/2014/chart" uri="{C3380CC4-5D6E-409C-BE32-E72D297353CC}">
              <c16:uniqueId val="{00000000-248E-46A4-BC96-2F506CE4178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0F8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[retail_xyz.xlsx]Sheet2!PivotTable6</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5423D"/>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7635B"/>
          </a:solidFill>
          <a:ln>
            <a:noFill/>
          </a:ln>
          <a:effectLst/>
        </c:spPr>
      </c:pivotFmt>
      <c:pivotFmt>
        <c:idx val="2"/>
        <c:spPr>
          <a:solidFill>
            <a:srgbClr val="0A847A">
              <a:alpha val="99000"/>
            </a:srgbClr>
          </a:solidFill>
          <a:ln>
            <a:noFill/>
          </a:ln>
          <a:effectLst/>
        </c:spPr>
      </c:pivotFmt>
      <c:pivotFmt>
        <c:idx val="3"/>
        <c:spPr>
          <a:solidFill>
            <a:srgbClr val="0CA599"/>
          </a:solidFill>
          <a:ln>
            <a:noFill/>
          </a:ln>
          <a:effectLst/>
        </c:spPr>
      </c:pivotFmt>
    </c:pivotFmts>
    <c:plotArea>
      <c:layout/>
      <c:barChart>
        <c:barDir val="bar"/>
        <c:grouping val="clustered"/>
        <c:varyColors val="0"/>
        <c:ser>
          <c:idx val="0"/>
          <c:order val="0"/>
          <c:tx>
            <c:strRef>
              <c:f>Sheet2!$B$84</c:f>
              <c:strCache>
                <c:ptCount val="1"/>
                <c:pt idx="0">
                  <c:v>Total</c:v>
                </c:pt>
              </c:strCache>
            </c:strRef>
          </c:tx>
          <c:spPr>
            <a:solidFill>
              <a:schemeClr val="accent1"/>
            </a:solidFill>
            <a:ln>
              <a:noFill/>
            </a:ln>
            <a:effectLst/>
          </c:spPr>
          <c:invertIfNegative val="0"/>
          <c:dPt>
            <c:idx val="0"/>
            <c:invertIfNegative val="0"/>
            <c:bubble3D val="0"/>
            <c:spPr>
              <a:solidFill>
                <a:srgbClr val="07635B"/>
              </a:solidFill>
              <a:ln>
                <a:noFill/>
              </a:ln>
              <a:effectLst/>
            </c:spPr>
            <c:extLst>
              <c:ext xmlns:c16="http://schemas.microsoft.com/office/drawing/2014/chart" uri="{C3380CC4-5D6E-409C-BE32-E72D297353CC}">
                <c16:uniqueId val="{00000002-EA91-4B96-AED8-5C8293C88F7F}"/>
              </c:ext>
            </c:extLst>
          </c:dPt>
          <c:dPt>
            <c:idx val="1"/>
            <c:invertIfNegative val="0"/>
            <c:bubble3D val="0"/>
            <c:spPr>
              <a:solidFill>
                <a:srgbClr val="0A847A">
                  <a:alpha val="99000"/>
                </a:srgbClr>
              </a:solidFill>
              <a:ln>
                <a:noFill/>
              </a:ln>
              <a:effectLst/>
            </c:spPr>
            <c:extLst>
              <c:ext xmlns:c16="http://schemas.microsoft.com/office/drawing/2014/chart" uri="{C3380CC4-5D6E-409C-BE32-E72D297353CC}">
                <c16:uniqueId val="{00000003-EA91-4B96-AED8-5C8293C88F7F}"/>
              </c:ext>
            </c:extLst>
          </c:dPt>
          <c:dPt>
            <c:idx val="2"/>
            <c:invertIfNegative val="0"/>
            <c:bubble3D val="0"/>
            <c:spPr>
              <a:solidFill>
                <a:srgbClr val="0CA599"/>
              </a:solidFill>
              <a:ln>
                <a:noFill/>
              </a:ln>
              <a:effectLst/>
            </c:spPr>
            <c:extLst>
              <c:ext xmlns:c16="http://schemas.microsoft.com/office/drawing/2014/chart" uri="{C3380CC4-5D6E-409C-BE32-E72D297353CC}">
                <c16:uniqueId val="{00000004-EA91-4B96-AED8-5C8293C88F7F}"/>
              </c:ext>
            </c:extLst>
          </c:dPt>
          <c:cat>
            <c:strRef>
              <c:f>Sheet2!$A$85:$A$88</c:f>
              <c:strCache>
                <c:ptCount val="3"/>
                <c:pt idx="0">
                  <c:v>Dewasa</c:v>
                </c:pt>
                <c:pt idx="1">
                  <c:v>Remaja</c:v>
                </c:pt>
                <c:pt idx="2">
                  <c:v>Lansia</c:v>
                </c:pt>
              </c:strCache>
            </c:strRef>
          </c:cat>
          <c:val>
            <c:numRef>
              <c:f>Sheet2!$B$85:$B$88</c:f>
              <c:numCache>
                <c:formatCode>General</c:formatCode>
                <c:ptCount val="3"/>
                <c:pt idx="0">
                  <c:v>41</c:v>
                </c:pt>
                <c:pt idx="1">
                  <c:v>33</c:v>
                </c:pt>
                <c:pt idx="2">
                  <c:v>26</c:v>
                </c:pt>
              </c:numCache>
            </c:numRef>
          </c:val>
          <c:extLst>
            <c:ext xmlns:c16="http://schemas.microsoft.com/office/drawing/2014/chart" uri="{C3380CC4-5D6E-409C-BE32-E72D297353CC}">
              <c16:uniqueId val="{00000000-EA91-4B96-AED8-5C8293C88F7F}"/>
            </c:ext>
          </c:extLst>
        </c:ser>
        <c:dLbls>
          <c:showLegendKey val="0"/>
          <c:showVal val="0"/>
          <c:showCatName val="0"/>
          <c:showSerName val="0"/>
          <c:showPercent val="0"/>
          <c:showBubbleSize val="0"/>
        </c:dLbls>
        <c:gapWidth val="182"/>
        <c:axId val="554052048"/>
        <c:axId val="554049648"/>
      </c:barChart>
      <c:catAx>
        <c:axId val="55405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mn-cs"/>
              </a:defRPr>
            </a:pPr>
            <a:endParaRPr lang="en-US"/>
          </a:p>
        </c:txPr>
        <c:crossAx val="554049648"/>
        <c:crosses val="autoZero"/>
        <c:auto val="1"/>
        <c:lblAlgn val="ctr"/>
        <c:lblOffset val="100"/>
        <c:noMultiLvlLbl val="0"/>
      </c:catAx>
      <c:valAx>
        <c:axId val="554049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mn-cs"/>
              </a:defRPr>
            </a:pPr>
            <a:endParaRPr lang="en-US"/>
          </a:p>
        </c:txPr>
        <c:crossAx val="55405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0F8F0"/>
    </a:solidFill>
    <a:ln w="9525" cap="flat" cmpd="sng" algn="ctr">
      <a:solidFill>
        <a:schemeClr val="tx1">
          <a:lumMod val="15000"/>
          <a:lumOff val="85000"/>
        </a:schemeClr>
      </a:solidFill>
      <a:round/>
    </a:ln>
    <a:effectLst/>
  </c:spPr>
  <c:txPr>
    <a:bodyPr/>
    <a:lstStyle/>
    <a:p>
      <a:pPr>
        <a:defRPr>
          <a:solidFill>
            <a:srgbClr val="05423D"/>
          </a:solidFill>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[retail_xyz.xlsx]Sheet2!PivotTable7</c:name>
    <c:fmtId val="51"/>
  </c:pivotSource>
  <c:chart>
    <c:autoTitleDeleted val="1"/>
    <c:pivotFmts>
      <c:pivotFmt>
        <c:idx val="0"/>
        <c:spPr>
          <a:solidFill>
            <a:srgbClr val="0A84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5423D"/>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5C1B0"/>
          </a:solidFill>
          <a:ln>
            <a:noFill/>
          </a:ln>
          <a:effectLst/>
        </c:spPr>
      </c:pivotFmt>
      <c:pivotFmt>
        <c:idx val="2"/>
        <c:spPr>
          <a:solidFill>
            <a:srgbClr val="0A847A"/>
          </a:solidFill>
          <a:ln>
            <a:noFill/>
          </a:ln>
          <a:effectLst/>
        </c:spPr>
      </c:pivotFmt>
    </c:pivotFmts>
    <c:plotArea>
      <c:layout/>
      <c:barChart>
        <c:barDir val="col"/>
        <c:grouping val="clustered"/>
        <c:varyColors val="0"/>
        <c:ser>
          <c:idx val="0"/>
          <c:order val="0"/>
          <c:tx>
            <c:strRef>
              <c:f>Sheet2!$B$104</c:f>
              <c:strCache>
                <c:ptCount val="1"/>
                <c:pt idx="0">
                  <c:v>Total</c:v>
                </c:pt>
              </c:strCache>
            </c:strRef>
          </c:tx>
          <c:spPr>
            <a:solidFill>
              <a:srgbClr val="0A847A"/>
            </a:solidFill>
            <a:ln>
              <a:noFill/>
            </a:ln>
            <a:effectLst/>
          </c:spPr>
          <c:invertIfNegative val="0"/>
          <c:dPt>
            <c:idx val="0"/>
            <c:invertIfNegative val="0"/>
            <c:bubble3D val="0"/>
            <c:spPr>
              <a:solidFill>
                <a:srgbClr val="35C1B0"/>
              </a:solidFill>
              <a:ln>
                <a:noFill/>
              </a:ln>
              <a:effectLst/>
            </c:spPr>
            <c:extLst>
              <c:ext xmlns:c16="http://schemas.microsoft.com/office/drawing/2014/chart" uri="{C3380CC4-5D6E-409C-BE32-E72D297353CC}">
                <c16:uniqueId val="{00000002-8561-4CE2-ABA9-853402BC03C5}"/>
              </c:ext>
            </c:extLst>
          </c:dPt>
          <c:dPt>
            <c:idx val="1"/>
            <c:invertIfNegative val="0"/>
            <c:bubble3D val="0"/>
            <c:spPr>
              <a:solidFill>
                <a:srgbClr val="0A847A"/>
              </a:solidFill>
              <a:ln>
                <a:noFill/>
              </a:ln>
              <a:effectLst/>
            </c:spPr>
            <c:extLst>
              <c:ext xmlns:c16="http://schemas.microsoft.com/office/drawing/2014/chart" uri="{C3380CC4-5D6E-409C-BE32-E72D297353CC}">
                <c16:uniqueId val="{00000003-8561-4CE2-ABA9-853402BC03C5}"/>
              </c:ext>
            </c:extLst>
          </c:dPt>
          <c:dPt>
            <c:idx val="2"/>
            <c:invertIfNegative val="0"/>
            <c:bubble3D val="0"/>
            <c:spPr>
              <a:solidFill>
                <a:srgbClr val="35C1B0"/>
              </a:solidFill>
              <a:ln>
                <a:noFill/>
              </a:ln>
              <a:effectLst/>
            </c:spPr>
            <c:extLst>
              <c:ext xmlns:c16="http://schemas.microsoft.com/office/drawing/2014/chart" uri="{C3380CC4-5D6E-409C-BE32-E72D297353CC}">
                <c16:uniqueId val="{00000004-8561-4CE2-ABA9-853402BC03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5423D"/>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Sheet2!$A$105:$A$108</c:f>
              <c:strCache>
                <c:ptCount val="3"/>
                <c:pt idx="0">
                  <c:v>Cabang A</c:v>
                </c:pt>
                <c:pt idx="1">
                  <c:v>Cabang B</c:v>
                </c:pt>
                <c:pt idx="2">
                  <c:v>Cabang C</c:v>
                </c:pt>
              </c:strCache>
            </c:strRef>
          </c:cat>
          <c:val>
            <c:numRef>
              <c:f>Sheet2!$B$105:$B$108</c:f>
              <c:numCache>
                <c:formatCode>General</c:formatCode>
                <c:ptCount val="3"/>
                <c:pt idx="0">
                  <c:v>34</c:v>
                </c:pt>
                <c:pt idx="1">
                  <c:v>34</c:v>
                </c:pt>
                <c:pt idx="2">
                  <c:v>32</c:v>
                </c:pt>
              </c:numCache>
            </c:numRef>
          </c:val>
          <c:extLst>
            <c:ext xmlns:c16="http://schemas.microsoft.com/office/drawing/2014/chart" uri="{C3380CC4-5D6E-409C-BE32-E72D297353CC}">
              <c16:uniqueId val="{00000000-8561-4CE2-ABA9-853402BC03C5}"/>
            </c:ext>
          </c:extLst>
        </c:ser>
        <c:dLbls>
          <c:showLegendKey val="0"/>
          <c:showVal val="1"/>
          <c:showCatName val="0"/>
          <c:showSerName val="0"/>
          <c:showPercent val="0"/>
          <c:showBubbleSize val="0"/>
        </c:dLbls>
        <c:gapWidth val="75"/>
        <c:axId val="1725128432"/>
        <c:axId val="1725124112"/>
      </c:barChart>
      <c:catAx>
        <c:axId val="17251284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mn-cs"/>
              </a:defRPr>
            </a:pPr>
            <a:endParaRPr lang="en-US"/>
          </a:p>
        </c:txPr>
        <c:crossAx val="1725124112"/>
        <c:crosses val="autoZero"/>
        <c:auto val="1"/>
        <c:lblAlgn val="ctr"/>
        <c:lblOffset val="100"/>
        <c:noMultiLvlLbl val="0"/>
      </c:catAx>
      <c:valAx>
        <c:axId val="1725124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mn-cs"/>
              </a:defRPr>
            </a:pPr>
            <a:endParaRPr lang="en-US"/>
          </a:p>
        </c:txPr>
        <c:crossAx val="1725128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5423D"/>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0F8F0"/>
    </a:solidFill>
    <a:ln w="9525" cap="flat" cmpd="sng" algn="ctr">
      <a:solidFill>
        <a:schemeClr val="tx2">
          <a:lumMod val="15000"/>
          <a:lumOff val="85000"/>
        </a:schemeClr>
      </a:solidFill>
      <a:round/>
    </a:ln>
    <a:effectLst/>
  </c:spPr>
  <c:txPr>
    <a:bodyPr/>
    <a:lstStyle/>
    <a:p>
      <a:pPr>
        <a:defRPr>
          <a:solidFill>
            <a:srgbClr val="05423D"/>
          </a:solidFill>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3879</xdr:colOff>
      <xdr:row>10</xdr:row>
      <xdr:rowOff>186009</xdr:rowOff>
    </xdr:from>
    <xdr:to>
      <xdr:col>25</xdr:col>
      <xdr:colOff>609342</xdr:colOff>
      <xdr:row>25</xdr:row>
      <xdr:rowOff>165100</xdr:rowOff>
    </xdr:to>
    <xdr:graphicFrame macro="">
      <xdr:nvGraphicFramePr>
        <xdr:cNvPr id="2" name="Chart 1">
          <a:extLst>
            <a:ext uri="{FF2B5EF4-FFF2-40B4-BE49-F238E27FC236}">
              <a16:creationId xmlns:a16="http://schemas.microsoft.com/office/drawing/2014/main" id="{3B834664-0341-DAF4-A046-570837AEF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684</xdr:colOff>
      <xdr:row>30</xdr:row>
      <xdr:rowOff>8688</xdr:rowOff>
    </xdr:from>
    <xdr:to>
      <xdr:col>25</xdr:col>
      <xdr:colOff>602435</xdr:colOff>
      <xdr:row>44</xdr:row>
      <xdr:rowOff>131678</xdr:rowOff>
    </xdr:to>
    <xdr:graphicFrame macro="">
      <xdr:nvGraphicFramePr>
        <xdr:cNvPr id="6" name="Chart 5">
          <a:extLst>
            <a:ext uri="{FF2B5EF4-FFF2-40B4-BE49-F238E27FC236}">
              <a16:creationId xmlns:a16="http://schemas.microsoft.com/office/drawing/2014/main" id="{C0A5A3CD-1C1D-41B3-C7BE-139C82054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4570</xdr:colOff>
      <xdr:row>11</xdr:row>
      <xdr:rowOff>4986</xdr:rowOff>
    </xdr:from>
    <xdr:to>
      <xdr:col>35</xdr:col>
      <xdr:colOff>5983</xdr:colOff>
      <xdr:row>25</xdr:row>
      <xdr:rowOff>168600</xdr:rowOff>
    </xdr:to>
    <xdr:graphicFrame macro="">
      <xdr:nvGraphicFramePr>
        <xdr:cNvPr id="7" name="Chart 6">
          <a:extLst>
            <a:ext uri="{FF2B5EF4-FFF2-40B4-BE49-F238E27FC236}">
              <a16:creationId xmlns:a16="http://schemas.microsoft.com/office/drawing/2014/main" id="{D7E5B549-4A7A-09D8-4F32-BD3EAFDE6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9335</xdr:colOff>
      <xdr:row>29</xdr:row>
      <xdr:rowOff>181834</xdr:rowOff>
    </xdr:from>
    <xdr:to>
      <xdr:col>34</xdr:col>
      <xdr:colOff>12607</xdr:colOff>
      <xdr:row>44</xdr:row>
      <xdr:rowOff>134628</xdr:rowOff>
    </xdr:to>
    <xdr:graphicFrame macro="">
      <xdr:nvGraphicFramePr>
        <xdr:cNvPr id="8" name="Chart 7">
          <a:extLst>
            <a:ext uri="{FF2B5EF4-FFF2-40B4-BE49-F238E27FC236}">
              <a16:creationId xmlns:a16="http://schemas.microsoft.com/office/drawing/2014/main" id="{D49FFE02-4916-0EE7-14D1-778D9994D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296085</xdr:colOff>
      <xdr:row>10</xdr:row>
      <xdr:rowOff>180993</xdr:rowOff>
    </xdr:from>
    <xdr:to>
      <xdr:col>42</xdr:col>
      <xdr:colOff>1829075</xdr:colOff>
      <xdr:row>25</xdr:row>
      <xdr:rowOff>165471</xdr:rowOff>
    </xdr:to>
    <xdr:graphicFrame macro="">
      <xdr:nvGraphicFramePr>
        <xdr:cNvPr id="9" name="Chart 8">
          <a:extLst>
            <a:ext uri="{FF2B5EF4-FFF2-40B4-BE49-F238E27FC236}">
              <a16:creationId xmlns:a16="http://schemas.microsoft.com/office/drawing/2014/main" id="{17B37BD1-168F-A8E0-5AE2-C118F8767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289273</xdr:colOff>
      <xdr:row>30</xdr:row>
      <xdr:rowOff>11526</xdr:rowOff>
    </xdr:from>
    <xdr:to>
      <xdr:col>42</xdr:col>
      <xdr:colOff>1810224</xdr:colOff>
      <xdr:row>44</xdr:row>
      <xdr:rowOff>128222</xdr:rowOff>
    </xdr:to>
    <xdr:graphicFrame macro="">
      <xdr:nvGraphicFramePr>
        <xdr:cNvPr id="11" name="Chart 10">
          <a:extLst>
            <a:ext uri="{FF2B5EF4-FFF2-40B4-BE49-F238E27FC236}">
              <a16:creationId xmlns:a16="http://schemas.microsoft.com/office/drawing/2014/main" id="{E9D9704E-D459-436F-40B2-3053844BE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342785</xdr:colOff>
      <xdr:row>8</xdr:row>
      <xdr:rowOff>15712</xdr:rowOff>
    </xdr:from>
    <xdr:to>
      <xdr:col>17</xdr:col>
      <xdr:colOff>334261</xdr:colOff>
      <xdr:row>15</xdr:row>
      <xdr:rowOff>165273</xdr:rowOff>
    </xdr:to>
    <mc:AlternateContent xmlns:mc="http://schemas.openxmlformats.org/markup-compatibility/2006" xmlns:a14="http://schemas.microsoft.com/office/drawing/2010/main">
      <mc:Choice Requires="a14">
        <xdr:graphicFrame macro="">
          <xdr:nvGraphicFramePr>
            <xdr:cNvPr id="12" name="nama_cabang">
              <a:extLst>
                <a:ext uri="{FF2B5EF4-FFF2-40B4-BE49-F238E27FC236}">
                  <a16:creationId xmlns:a16="http://schemas.microsoft.com/office/drawing/2014/main" id="{D7086EC1-658A-81B5-3B45-9A1D2C6999C2}"/>
                </a:ext>
              </a:extLst>
            </xdr:cNvPr>
            <xdr:cNvGraphicFramePr/>
          </xdr:nvGraphicFramePr>
          <xdr:xfrm>
            <a:off x="0" y="0"/>
            <a:ext cx="0" cy="0"/>
          </xdr:xfrm>
          <a:graphic>
            <a:graphicData uri="http://schemas.microsoft.com/office/drawing/2010/slicer">
              <sle:slicer xmlns:sle="http://schemas.microsoft.com/office/drawing/2010/slicer" name="nama_cabang"/>
            </a:graphicData>
          </a:graphic>
        </xdr:graphicFrame>
      </mc:Choice>
      <mc:Fallback xmlns="">
        <xdr:sp macro="" textlink="">
          <xdr:nvSpPr>
            <xdr:cNvPr id="0" name=""/>
            <xdr:cNvSpPr>
              <a:spLocks noTextEdit="1"/>
            </xdr:cNvSpPr>
          </xdr:nvSpPr>
          <xdr:spPr>
            <a:xfrm>
              <a:off x="9992517" y="3292766"/>
              <a:ext cx="1828439" cy="1419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328200</xdr:colOff>
      <xdr:row>27</xdr:row>
      <xdr:rowOff>181974</xdr:rowOff>
    </xdr:from>
    <xdr:to>
      <xdr:col>17</xdr:col>
      <xdr:colOff>328205</xdr:colOff>
      <xdr:row>35</xdr:row>
      <xdr:rowOff>69591</xdr:rowOff>
    </xdr:to>
    <mc:AlternateContent xmlns:mc="http://schemas.openxmlformats.org/markup-compatibility/2006" xmlns:a14="http://schemas.microsoft.com/office/drawing/2010/main">
      <mc:Choice Requires="a14">
        <xdr:graphicFrame macro="">
          <xdr:nvGraphicFramePr>
            <xdr:cNvPr id="13" name="kategori">
              <a:extLst>
                <a:ext uri="{FF2B5EF4-FFF2-40B4-BE49-F238E27FC236}">
                  <a16:creationId xmlns:a16="http://schemas.microsoft.com/office/drawing/2014/main" id="{262E5982-3904-C2BA-510B-3516F477F3A5}"/>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mlns="">
        <xdr:sp macro="" textlink="">
          <xdr:nvSpPr>
            <xdr:cNvPr id="0" name=""/>
            <xdr:cNvSpPr>
              <a:spLocks noTextEdit="1"/>
            </xdr:cNvSpPr>
          </xdr:nvSpPr>
          <xdr:spPr>
            <a:xfrm>
              <a:off x="9977932" y="6906170"/>
              <a:ext cx="1836968" cy="1339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317327</xdr:colOff>
      <xdr:row>36</xdr:row>
      <xdr:rowOff>59761</xdr:rowOff>
    </xdr:from>
    <xdr:to>
      <xdr:col>17</xdr:col>
      <xdr:colOff>317332</xdr:colOff>
      <xdr:row>44</xdr:row>
      <xdr:rowOff>147877</xdr:rowOff>
    </xdr:to>
    <mc:AlternateContent xmlns:mc="http://schemas.openxmlformats.org/markup-compatibility/2006" xmlns:a14="http://schemas.microsoft.com/office/drawing/2010/main">
      <mc:Choice Requires="a14">
        <xdr:graphicFrame macro="">
          <xdr:nvGraphicFramePr>
            <xdr:cNvPr id="14" name="golongan_umur">
              <a:extLst>
                <a:ext uri="{FF2B5EF4-FFF2-40B4-BE49-F238E27FC236}">
                  <a16:creationId xmlns:a16="http://schemas.microsoft.com/office/drawing/2014/main" id="{2DCB6219-1BB5-5A3E-8365-DF8A5621DFA3}"/>
                </a:ext>
              </a:extLst>
            </xdr:cNvPr>
            <xdr:cNvGraphicFramePr/>
          </xdr:nvGraphicFramePr>
          <xdr:xfrm>
            <a:off x="0" y="0"/>
            <a:ext cx="0" cy="0"/>
          </xdr:xfrm>
          <a:graphic>
            <a:graphicData uri="http://schemas.microsoft.com/office/drawing/2010/slicer">
              <sle:slicer xmlns:sle="http://schemas.microsoft.com/office/drawing/2010/slicer" name="golongan_umur"/>
            </a:graphicData>
          </a:graphic>
        </xdr:graphicFrame>
      </mc:Choice>
      <mc:Fallback xmlns="">
        <xdr:sp macro="" textlink="">
          <xdr:nvSpPr>
            <xdr:cNvPr id="0" name=""/>
            <xdr:cNvSpPr>
              <a:spLocks noTextEdit="1"/>
            </xdr:cNvSpPr>
          </xdr:nvSpPr>
          <xdr:spPr>
            <a:xfrm>
              <a:off x="9967059" y="8416815"/>
              <a:ext cx="1836968" cy="1539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331855</xdr:colOff>
      <xdr:row>16</xdr:row>
      <xdr:rowOff>121083</xdr:rowOff>
    </xdr:from>
    <xdr:to>
      <xdr:col>17</xdr:col>
      <xdr:colOff>331860</xdr:colOff>
      <xdr:row>27</xdr:row>
      <xdr:rowOff>26096</xdr:rowOff>
    </xdr:to>
    <mc:AlternateContent xmlns:mc="http://schemas.openxmlformats.org/markup-compatibility/2006" xmlns:a14="http://schemas.microsoft.com/office/drawing/2010/main">
      <mc:Choice Requires="a14">
        <xdr:graphicFrame macro="">
          <xdr:nvGraphicFramePr>
            <xdr:cNvPr id="15" name="bulan">
              <a:extLst>
                <a:ext uri="{FF2B5EF4-FFF2-40B4-BE49-F238E27FC236}">
                  <a16:creationId xmlns:a16="http://schemas.microsoft.com/office/drawing/2014/main" id="{D72B6890-C1F6-4517-BC15-2782DE8F2C3E}"/>
                </a:ext>
              </a:extLst>
            </xdr:cNvPr>
            <xdr:cNvGraphicFramePr/>
          </xdr:nvGraphicFramePr>
          <xdr:xfrm>
            <a:off x="0" y="0"/>
            <a:ext cx="0" cy="0"/>
          </xdr:xfrm>
          <a:graphic>
            <a:graphicData uri="http://schemas.microsoft.com/office/drawing/2010/slicer">
              <sle:slicer xmlns:sle="http://schemas.microsoft.com/office/drawing/2010/slicer" name="bulan"/>
            </a:graphicData>
          </a:graphic>
        </xdr:graphicFrame>
      </mc:Choice>
      <mc:Fallback xmlns="">
        <xdr:sp macro="" textlink="">
          <xdr:nvSpPr>
            <xdr:cNvPr id="0" name=""/>
            <xdr:cNvSpPr>
              <a:spLocks noTextEdit="1"/>
            </xdr:cNvSpPr>
          </xdr:nvSpPr>
          <xdr:spPr>
            <a:xfrm>
              <a:off x="9981587" y="4849565"/>
              <a:ext cx="1836968" cy="1900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28.441922337966" createdVersion="8" refreshedVersion="8" minRefreshableVersion="3" recordCount="100" xr:uid="{1F3957A2-B9CE-46AC-9545-6756CFCA3492}">
  <cacheSource type="worksheet">
    <worksheetSource name="retail_xyz_sql"/>
  </cacheSource>
  <cacheFields count="14">
    <cacheField name="id_transaksi" numFmtId="0">
      <sharedItems containsSemiMixedTypes="0" containsString="0" containsNumber="1" containsInteger="1" minValue="1" maxValue="100"/>
    </cacheField>
    <cacheField name="nama_cabang" numFmtId="0">
      <sharedItems count="3">
        <s v="Cabang A"/>
        <s v="Cabang B"/>
        <s v="Cabang C"/>
      </sharedItems>
    </cacheField>
    <cacheField name="kota" numFmtId="0">
      <sharedItems/>
    </cacheField>
    <cacheField name="region" numFmtId="0">
      <sharedItems/>
    </cacheField>
    <cacheField name="nama_produk" numFmtId="0">
      <sharedItems count="50">
        <s v="Nasi Goreng"/>
        <s v="Popcorn"/>
        <s v="Cappuccino"/>
        <s v="Nasi Padang"/>
        <s v="Ayam Geprek"/>
        <s v="Jus Mangga"/>
        <s v="Nasi Kuning"/>
        <s v="Es Coklat"/>
        <s v="Gado-Gado"/>
        <s v="Milkshake Coklat"/>
        <s v="Soto Ayam"/>
        <s v="Ikan Goreng"/>
        <s v="Cireng"/>
        <s v="Cheesecake"/>
        <s v="Mie Ayam"/>
        <s v="Wafer"/>
        <s v="Teh Tarik"/>
        <s v="Martabak Mini"/>
        <s v="Jus Jeruk"/>
        <s v="Kacang"/>
        <s v="Jus Alpukat"/>
        <s v="Ayam Penyet"/>
        <s v="Keripik"/>
        <s v="Es Teh"/>
        <s v="Nasi Campur"/>
        <s v="Kerupuk"/>
        <s v="Potato Chips"/>
        <s v="Sate Ayam"/>
        <s v="Biskuit"/>
        <s v="Mie Goreng"/>
        <s v="Batagor"/>
        <s v="Croissant"/>
        <s v="Rendang"/>
        <s v="Nasi Uduk"/>
        <s v="Teh Botol"/>
        <s v="Smoothie Strawberry"/>
        <s v="Air Mineral"/>
        <s v="Soda"/>
        <s v="Kopi Latte"/>
        <s v="Siomay"/>
        <s v="Permen"/>
        <s v="Pisang Goreng"/>
        <s v="Kopi"/>
        <s v="Donat"/>
        <s v="Tongseng"/>
        <s v="Coklat"/>
        <s v="Ayam Bakar"/>
        <s v="Brownies"/>
        <s v="Bakso"/>
        <s v="Capcay"/>
      </sharedItems>
    </cacheField>
    <cacheField name="kategori" numFmtId="0">
      <sharedItems count="3">
        <s v="Makanan"/>
        <s v="Snack"/>
        <s v="Minuman"/>
      </sharedItems>
    </cacheField>
    <cacheField name="jenis_kelamin" numFmtId="0">
      <sharedItems/>
    </cacheField>
    <cacheField name="golongan_umur" numFmtId="0">
      <sharedItems count="3">
        <s v="Dewasa"/>
        <s v="Lansia"/>
        <s v="Remaja"/>
      </sharedItems>
    </cacheField>
    <cacheField name="tanggal" numFmtId="14">
      <sharedItems containsSemiMixedTypes="0" containsNonDate="0" containsDate="1" containsString="0" minDate="2024-01-01T00:00:00" maxDate="2024-05-26T00:00:00"/>
    </cacheField>
    <cacheField name="bulan" numFmtId="0">
      <sharedItems containsSemiMixedTypes="0" containsString="0" containsNumber="1" containsInteger="1" minValue="1" maxValue="5" count="5">
        <n v="1"/>
        <n v="2"/>
        <n v="3"/>
        <n v="4"/>
        <n v="5"/>
      </sharedItems>
    </cacheField>
    <cacheField name="tahun" numFmtId="0">
      <sharedItems containsSemiMixedTypes="0" containsString="0" containsNumber="1" containsInteger="1" minValue="2024" maxValue="2024"/>
    </cacheField>
    <cacheField name="kuartal" numFmtId="0">
      <sharedItems containsSemiMixedTypes="0" containsString="0" containsNumber="1" containsInteger="1" minValue="1" maxValue="2"/>
    </cacheField>
    <cacheField name="jumlah" numFmtId="0">
      <sharedItems containsSemiMixedTypes="0" containsString="0" containsNumber="1" containsInteger="1" minValue="1" maxValue="5"/>
    </cacheField>
    <cacheField name="total_harga" numFmtId="0">
      <sharedItems containsSemiMixedTypes="0" containsString="0" containsNumber="1" containsInteger="1" minValue="8000" maxValue="60000"/>
    </cacheField>
  </cacheFields>
  <extLst>
    <ext xmlns:x14="http://schemas.microsoft.com/office/spreadsheetml/2009/9/main" uri="{725AE2AE-9491-48be-B2B4-4EB974FC3084}">
      <x14:pivotCacheDefinition pivotCacheId="1319799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s v="Jakarta"/>
    <s v="Barat"/>
    <x v="0"/>
    <x v="0"/>
    <s v="L"/>
    <x v="0"/>
    <d v="2024-01-01T00:00:00"/>
    <x v="0"/>
    <n v="2024"/>
    <n v="1"/>
    <n v="2"/>
    <n v="40000"/>
  </r>
  <r>
    <n v="21"/>
    <x v="0"/>
    <s v="Jakarta"/>
    <s v="Barat"/>
    <x v="1"/>
    <x v="1"/>
    <s v="L"/>
    <x v="0"/>
    <d v="2024-01-01T00:00:00"/>
    <x v="0"/>
    <n v="2024"/>
    <n v="1"/>
    <n v="2"/>
    <n v="20000"/>
  </r>
  <r>
    <n v="81"/>
    <x v="0"/>
    <s v="Jakarta"/>
    <s v="Barat"/>
    <x v="2"/>
    <x v="2"/>
    <s v="L"/>
    <x v="0"/>
    <d v="2024-01-01T00:00:00"/>
    <x v="0"/>
    <n v="2024"/>
    <n v="1"/>
    <n v="1"/>
    <n v="15000"/>
  </r>
  <r>
    <n v="42"/>
    <x v="0"/>
    <s v="Jakarta"/>
    <s v="Barat"/>
    <x v="3"/>
    <x v="0"/>
    <s v="L"/>
    <x v="1"/>
    <d v="2024-01-02T00:00:00"/>
    <x v="0"/>
    <n v="2024"/>
    <n v="1"/>
    <n v="1"/>
    <n v="25000"/>
  </r>
  <r>
    <n v="6"/>
    <x v="0"/>
    <s v="Jakarta"/>
    <s v="Barat"/>
    <x v="4"/>
    <x v="0"/>
    <s v="L"/>
    <x v="0"/>
    <d v="2024-01-10T00:00:00"/>
    <x v="0"/>
    <n v="2024"/>
    <n v="1"/>
    <n v="2"/>
    <n v="36000"/>
  </r>
  <r>
    <n v="63"/>
    <x v="0"/>
    <s v="Jakarta"/>
    <s v="Barat"/>
    <x v="5"/>
    <x v="2"/>
    <s v="L"/>
    <x v="0"/>
    <d v="2024-01-10T00:00:00"/>
    <x v="0"/>
    <n v="2024"/>
    <n v="1"/>
    <n v="2"/>
    <n v="24000"/>
  </r>
  <r>
    <n v="24"/>
    <x v="0"/>
    <s v="Jakarta"/>
    <s v="Barat"/>
    <x v="6"/>
    <x v="0"/>
    <s v="P"/>
    <x v="0"/>
    <d v="2024-01-15T00:00:00"/>
    <x v="0"/>
    <n v="2024"/>
    <n v="1"/>
    <n v="2"/>
    <n v="28000"/>
  </r>
  <r>
    <n v="84"/>
    <x v="0"/>
    <s v="Jakarta"/>
    <s v="Barat"/>
    <x v="7"/>
    <x v="2"/>
    <s v="P"/>
    <x v="0"/>
    <d v="2024-01-15T00:00:00"/>
    <x v="0"/>
    <n v="2024"/>
    <n v="1"/>
    <n v="2"/>
    <n v="26000"/>
  </r>
  <r>
    <n v="45"/>
    <x v="0"/>
    <s v="Jakarta"/>
    <s v="Barat"/>
    <x v="8"/>
    <x v="0"/>
    <s v="L"/>
    <x v="0"/>
    <d v="2024-02-01T00:00:00"/>
    <x v="1"/>
    <n v="2024"/>
    <n v="1"/>
    <n v="2"/>
    <n v="30000"/>
  </r>
  <r>
    <n v="66"/>
    <x v="0"/>
    <s v="Jakarta"/>
    <s v="Barat"/>
    <x v="9"/>
    <x v="2"/>
    <s v="L"/>
    <x v="0"/>
    <d v="2024-02-10T00:00:00"/>
    <x v="1"/>
    <n v="2024"/>
    <n v="1"/>
    <n v="1"/>
    <n v="15000"/>
  </r>
  <r>
    <n v="9"/>
    <x v="0"/>
    <s v="Jakarta"/>
    <s v="Barat"/>
    <x v="10"/>
    <x v="0"/>
    <s v="P"/>
    <x v="0"/>
    <d v="2024-02-14T00:00:00"/>
    <x v="1"/>
    <n v="2024"/>
    <n v="1"/>
    <n v="2"/>
    <n v="32000"/>
  </r>
  <r>
    <n v="27"/>
    <x v="0"/>
    <s v="Jakarta"/>
    <s v="Barat"/>
    <x v="11"/>
    <x v="0"/>
    <s v="L"/>
    <x v="1"/>
    <d v="2024-02-14T00:00:00"/>
    <x v="1"/>
    <n v="2024"/>
    <n v="1"/>
    <n v="1"/>
    <n v="21000"/>
  </r>
  <r>
    <n v="87"/>
    <x v="0"/>
    <s v="Jakarta"/>
    <s v="Barat"/>
    <x v="12"/>
    <x v="1"/>
    <s v="L"/>
    <x v="1"/>
    <d v="2024-02-14T00:00:00"/>
    <x v="1"/>
    <n v="2024"/>
    <n v="1"/>
    <n v="2"/>
    <n v="14000"/>
  </r>
  <r>
    <n v="48"/>
    <x v="0"/>
    <s v="Jakarta"/>
    <s v="Barat"/>
    <x v="13"/>
    <x v="1"/>
    <s v="L"/>
    <x v="0"/>
    <d v="2024-02-20T00:00:00"/>
    <x v="1"/>
    <n v="2024"/>
    <n v="1"/>
    <n v="1"/>
    <n v="18000"/>
  </r>
  <r>
    <n v="4"/>
    <x v="0"/>
    <s v="Jakarta"/>
    <s v="Barat"/>
    <x v="14"/>
    <x v="0"/>
    <s v="P"/>
    <x v="0"/>
    <d v="2024-03-01T00:00:00"/>
    <x v="2"/>
    <n v="2024"/>
    <n v="1"/>
    <n v="2"/>
    <n v="30000"/>
  </r>
  <r>
    <n v="69"/>
    <x v="0"/>
    <s v="Jakarta"/>
    <s v="Barat"/>
    <x v="15"/>
    <x v="1"/>
    <s v="P"/>
    <x v="0"/>
    <d v="2024-03-01T00:00:00"/>
    <x v="2"/>
    <n v="2024"/>
    <n v="1"/>
    <n v="2"/>
    <n v="16000"/>
  </r>
  <r>
    <n v="30"/>
    <x v="0"/>
    <s v="Jakarta"/>
    <s v="Barat"/>
    <x v="16"/>
    <x v="2"/>
    <s v="L"/>
    <x v="0"/>
    <d v="2024-03-10T00:00:00"/>
    <x v="2"/>
    <n v="2024"/>
    <n v="1"/>
    <n v="2"/>
    <n v="24000"/>
  </r>
  <r>
    <n v="90"/>
    <x v="0"/>
    <s v="Jakarta"/>
    <s v="Barat"/>
    <x v="17"/>
    <x v="1"/>
    <s v="L"/>
    <x v="0"/>
    <d v="2024-03-10T00:00:00"/>
    <x v="2"/>
    <n v="2024"/>
    <n v="1"/>
    <n v="3"/>
    <n v="45000"/>
  </r>
  <r>
    <n v="12"/>
    <x v="0"/>
    <s v="Jakarta"/>
    <s v="Barat"/>
    <x v="18"/>
    <x v="2"/>
    <s v="L"/>
    <x v="1"/>
    <d v="2024-03-15T00:00:00"/>
    <x v="2"/>
    <n v="2024"/>
    <n v="1"/>
    <n v="3"/>
    <n v="30000"/>
  </r>
  <r>
    <n v="51"/>
    <x v="0"/>
    <s v="Jakarta"/>
    <s v="Barat"/>
    <x v="14"/>
    <x v="0"/>
    <s v="L"/>
    <x v="0"/>
    <d v="2024-03-15T00:00:00"/>
    <x v="2"/>
    <n v="2024"/>
    <n v="1"/>
    <n v="2"/>
    <n v="30000"/>
  </r>
  <r>
    <n v="72"/>
    <x v="0"/>
    <s v="Jakarta"/>
    <s v="Barat"/>
    <x v="19"/>
    <x v="1"/>
    <s v="L"/>
    <x v="1"/>
    <d v="2024-03-25T00:00:00"/>
    <x v="2"/>
    <n v="2024"/>
    <n v="1"/>
    <n v="1"/>
    <n v="9000"/>
  </r>
  <r>
    <n v="33"/>
    <x v="0"/>
    <s v="Jakarta"/>
    <s v="Barat"/>
    <x v="20"/>
    <x v="2"/>
    <s v="L"/>
    <x v="0"/>
    <d v="2024-04-01T00:00:00"/>
    <x v="3"/>
    <n v="2024"/>
    <n v="2"/>
    <n v="1"/>
    <n v="14000"/>
  </r>
  <r>
    <n v="93"/>
    <x v="0"/>
    <s v="Jakarta"/>
    <s v="Barat"/>
    <x v="21"/>
    <x v="0"/>
    <s v="L"/>
    <x v="0"/>
    <d v="2024-04-01T00:00:00"/>
    <x v="3"/>
    <n v="2024"/>
    <n v="2"/>
    <n v="2"/>
    <n v="40000"/>
  </r>
  <r>
    <n v="54"/>
    <x v="0"/>
    <s v="Jakarta"/>
    <s v="Barat"/>
    <x v="22"/>
    <x v="1"/>
    <s v="P"/>
    <x v="0"/>
    <d v="2024-04-10T00:00:00"/>
    <x v="3"/>
    <n v="2024"/>
    <n v="2"/>
    <n v="2"/>
    <n v="16000"/>
  </r>
  <r>
    <n v="15"/>
    <x v="0"/>
    <s v="Jakarta"/>
    <s v="Barat"/>
    <x v="23"/>
    <x v="2"/>
    <s v="L"/>
    <x v="0"/>
    <d v="2024-04-15T00:00:00"/>
    <x v="3"/>
    <n v="2024"/>
    <n v="2"/>
    <n v="2"/>
    <n v="10000"/>
  </r>
  <r>
    <n v="75"/>
    <x v="0"/>
    <s v="Jakarta"/>
    <s v="Barat"/>
    <x v="24"/>
    <x v="0"/>
    <s v="L"/>
    <x v="0"/>
    <d v="2024-04-15T00:00:00"/>
    <x v="3"/>
    <n v="2024"/>
    <n v="2"/>
    <n v="1"/>
    <n v="20000"/>
  </r>
  <r>
    <n v="36"/>
    <x v="0"/>
    <s v="Jakarta"/>
    <s v="Barat"/>
    <x v="25"/>
    <x v="1"/>
    <s v="L"/>
    <x v="0"/>
    <d v="2024-04-25T00:00:00"/>
    <x v="3"/>
    <n v="2024"/>
    <n v="2"/>
    <n v="4"/>
    <n v="20000"/>
  </r>
  <r>
    <n v="96"/>
    <x v="0"/>
    <s v="Jakarta"/>
    <s v="Barat"/>
    <x v="26"/>
    <x v="1"/>
    <s v="L"/>
    <x v="0"/>
    <d v="2024-04-25T00:00:00"/>
    <x v="3"/>
    <n v="2024"/>
    <n v="2"/>
    <n v="3"/>
    <n v="30000"/>
  </r>
  <r>
    <n v="57"/>
    <x v="0"/>
    <s v="Jakarta"/>
    <s v="Barat"/>
    <x v="27"/>
    <x v="0"/>
    <s v="L"/>
    <x v="1"/>
    <d v="2024-05-01T00:00:00"/>
    <x v="4"/>
    <n v="2024"/>
    <n v="2"/>
    <n v="1"/>
    <n v="25000"/>
  </r>
  <r>
    <n v="18"/>
    <x v="0"/>
    <s v="Jakarta"/>
    <s v="Barat"/>
    <x v="28"/>
    <x v="1"/>
    <s v="L"/>
    <x v="0"/>
    <d v="2024-05-10T00:00:00"/>
    <x v="4"/>
    <n v="2024"/>
    <n v="2"/>
    <n v="3"/>
    <n v="21000"/>
  </r>
  <r>
    <n v="78"/>
    <x v="0"/>
    <s v="Jakarta"/>
    <s v="Barat"/>
    <x v="29"/>
    <x v="0"/>
    <s v="L"/>
    <x v="0"/>
    <d v="2024-05-10T00:00:00"/>
    <x v="4"/>
    <n v="2024"/>
    <n v="2"/>
    <n v="2"/>
    <n v="30000"/>
  </r>
  <r>
    <n v="39"/>
    <x v="0"/>
    <s v="Jakarta"/>
    <s v="Barat"/>
    <x v="30"/>
    <x v="1"/>
    <s v="P"/>
    <x v="0"/>
    <d v="2024-05-15T00:00:00"/>
    <x v="4"/>
    <n v="2024"/>
    <n v="2"/>
    <n v="2"/>
    <n v="24000"/>
  </r>
  <r>
    <n v="99"/>
    <x v="0"/>
    <s v="Jakarta"/>
    <s v="Barat"/>
    <x v="31"/>
    <x v="1"/>
    <s v="P"/>
    <x v="0"/>
    <d v="2024-05-15T00:00:00"/>
    <x v="4"/>
    <n v="2024"/>
    <n v="2"/>
    <n v="2"/>
    <n v="30000"/>
  </r>
  <r>
    <n v="60"/>
    <x v="0"/>
    <s v="Jakarta"/>
    <s v="Barat"/>
    <x v="32"/>
    <x v="0"/>
    <s v="L"/>
    <x v="0"/>
    <d v="2024-05-25T00:00:00"/>
    <x v="4"/>
    <n v="2024"/>
    <n v="2"/>
    <n v="1"/>
    <n v="30000"/>
  </r>
  <r>
    <n v="61"/>
    <x v="1"/>
    <s v="Surabaya"/>
    <s v="Timur"/>
    <x v="33"/>
    <x v="0"/>
    <s v="L"/>
    <x v="0"/>
    <d v="2024-01-01T00:00:00"/>
    <x v="0"/>
    <n v="2024"/>
    <n v="1"/>
    <n v="2"/>
    <n v="24000"/>
  </r>
  <r>
    <n v="2"/>
    <x v="1"/>
    <s v="Surabaya"/>
    <s v="Timur"/>
    <x v="34"/>
    <x v="2"/>
    <s v="P"/>
    <x v="2"/>
    <d v="2024-01-02T00:00:00"/>
    <x v="0"/>
    <n v="2024"/>
    <n v="1"/>
    <n v="3"/>
    <n v="15000"/>
  </r>
  <r>
    <n v="22"/>
    <x v="1"/>
    <s v="Surabaya"/>
    <s v="Timur"/>
    <x v="19"/>
    <x v="1"/>
    <s v="P"/>
    <x v="2"/>
    <d v="2024-01-02T00:00:00"/>
    <x v="0"/>
    <n v="2024"/>
    <n v="1"/>
    <n v="1"/>
    <n v="9000"/>
  </r>
  <r>
    <n v="82"/>
    <x v="1"/>
    <s v="Surabaya"/>
    <s v="Timur"/>
    <x v="35"/>
    <x v="2"/>
    <s v="P"/>
    <x v="2"/>
    <d v="2024-01-02T00:00:00"/>
    <x v="0"/>
    <n v="2024"/>
    <n v="1"/>
    <n v="2"/>
    <n v="32000"/>
  </r>
  <r>
    <n v="43"/>
    <x v="1"/>
    <s v="Surabaya"/>
    <s v="Timur"/>
    <x v="21"/>
    <x v="0"/>
    <s v="P"/>
    <x v="1"/>
    <d v="2024-01-10T00:00:00"/>
    <x v="0"/>
    <n v="2024"/>
    <n v="1"/>
    <n v="2"/>
    <n v="40000"/>
  </r>
  <r>
    <n v="7"/>
    <x v="1"/>
    <s v="Surabaya"/>
    <s v="Timur"/>
    <x v="27"/>
    <x v="0"/>
    <s v="P"/>
    <x v="2"/>
    <d v="2024-01-15T00:00:00"/>
    <x v="0"/>
    <n v="2024"/>
    <n v="1"/>
    <n v="1"/>
    <n v="25000"/>
  </r>
  <r>
    <n v="64"/>
    <x v="1"/>
    <s v="Surabaya"/>
    <s v="Timur"/>
    <x v="36"/>
    <x v="2"/>
    <s v="P"/>
    <x v="0"/>
    <d v="2024-01-15T00:00:00"/>
    <x v="0"/>
    <n v="2024"/>
    <n v="1"/>
    <n v="4"/>
    <n v="16000"/>
  </r>
  <r>
    <n v="25"/>
    <x v="1"/>
    <s v="Surabaya"/>
    <s v="Timur"/>
    <x v="24"/>
    <x v="0"/>
    <s v="P"/>
    <x v="2"/>
    <d v="2024-02-01T00:00:00"/>
    <x v="1"/>
    <n v="2024"/>
    <n v="1"/>
    <n v="1"/>
    <n v="20000"/>
  </r>
  <r>
    <n v="85"/>
    <x v="1"/>
    <s v="Surabaya"/>
    <s v="Timur"/>
    <x v="37"/>
    <x v="2"/>
    <s v="P"/>
    <x v="2"/>
    <d v="2024-02-01T00:00:00"/>
    <x v="1"/>
    <n v="2024"/>
    <n v="1"/>
    <n v="3"/>
    <n v="24000"/>
  </r>
  <r>
    <n v="46"/>
    <x v="1"/>
    <s v="Surabaya"/>
    <s v="Timur"/>
    <x v="26"/>
    <x v="1"/>
    <s v="L"/>
    <x v="0"/>
    <d v="2024-02-10T00:00:00"/>
    <x v="1"/>
    <n v="2024"/>
    <n v="1"/>
    <n v="3"/>
    <n v="30000"/>
  </r>
  <r>
    <n v="67"/>
    <x v="1"/>
    <s v="Surabaya"/>
    <s v="Timur"/>
    <x v="38"/>
    <x v="2"/>
    <s v="P"/>
    <x v="2"/>
    <d v="2024-02-14T00:00:00"/>
    <x v="1"/>
    <n v="2024"/>
    <n v="1"/>
    <n v="2"/>
    <n v="36000"/>
  </r>
  <r>
    <n v="10"/>
    <x v="1"/>
    <s v="Surabaya"/>
    <s v="Timur"/>
    <x v="32"/>
    <x v="0"/>
    <s v="P"/>
    <x v="2"/>
    <d v="2024-02-20T00:00:00"/>
    <x v="1"/>
    <n v="2024"/>
    <n v="1"/>
    <n v="1"/>
    <n v="30000"/>
  </r>
  <r>
    <n v="28"/>
    <x v="1"/>
    <s v="Surabaya"/>
    <s v="Timur"/>
    <x v="29"/>
    <x v="0"/>
    <s v="P"/>
    <x v="1"/>
    <d v="2024-02-20T00:00:00"/>
    <x v="1"/>
    <n v="2024"/>
    <n v="1"/>
    <n v="2"/>
    <n v="30000"/>
  </r>
  <r>
    <n v="88"/>
    <x v="1"/>
    <s v="Surabaya"/>
    <s v="Timur"/>
    <x v="39"/>
    <x v="1"/>
    <s v="P"/>
    <x v="1"/>
    <d v="2024-02-20T00:00:00"/>
    <x v="1"/>
    <n v="2024"/>
    <n v="1"/>
    <n v="1"/>
    <n v="10000"/>
  </r>
  <r>
    <n v="49"/>
    <x v="1"/>
    <s v="Surabaya"/>
    <s v="Timur"/>
    <x v="31"/>
    <x v="1"/>
    <s v="P"/>
    <x v="0"/>
    <d v="2024-03-01T00:00:00"/>
    <x v="2"/>
    <n v="2024"/>
    <n v="1"/>
    <n v="2"/>
    <n v="30000"/>
  </r>
  <r>
    <n v="70"/>
    <x v="1"/>
    <s v="Surabaya"/>
    <s v="Timur"/>
    <x v="40"/>
    <x v="1"/>
    <s v="P"/>
    <x v="2"/>
    <d v="2024-03-10T00:00:00"/>
    <x v="2"/>
    <n v="2024"/>
    <n v="1"/>
    <n v="5"/>
    <n v="25000"/>
  </r>
  <r>
    <n v="31"/>
    <x v="1"/>
    <s v="Surabaya"/>
    <s v="Timur"/>
    <x v="2"/>
    <x v="2"/>
    <s v="L"/>
    <x v="0"/>
    <d v="2024-03-15T00:00:00"/>
    <x v="2"/>
    <n v="2024"/>
    <n v="1"/>
    <n v="1"/>
    <n v="15000"/>
  </r>
  <r>
    <n v="91"/>
    <x v="1"/>
    <s v="Surabaya"/>
    <s v="Timur"/>
    <x v="41"/>
    <x v="1"/>
    <s v="L"/>
    <x v="0"/>
    <d v="2024-03-15T00:00:00"/>
    <x v="2"/>
    <n v="2024"/>
    <n v="1"/>
    <n v="2"/>
    <n v="16000"/>
  </r>
  <r>
    <n v="13"/>
    <x v="1"/>
    <s v="Surabaya"/>
    <s v="Timur"/>
    <x v="5"/>
    <x v="2"/>
    <s v="P"/>
    <x v="1"/>
    <d v="2024-03-25T00:00:00"/>
    <x v="2"/>
    <n v="2024"/>
    <n v="1"/>
    <n v="2"/>
    <n v="24000"/>
  </r>
  <r>
    <n v="52"/>
    <x v="1"/>
    <s v="Surabaya"/>
    <s v="Timur"/>
    <x v="34"/>
    <x v="2"/>
    <s v="P"/>
    <x v="2"/>
    <d v="2024-03-25T00:00:00"/>
    <x v="2"/>
    <n v="2024"/>
    <n v="1"/>
    <n v="4"/>
    <n v="20000"/>
  </r>
  <r>
    <n v="5"/>
    <x v="1"/>
    <s v="Surabaya"/>
    <s v="Timur"/>
    <x v="42"/>
    <x v="2"/>
    <s v="P"/>
    <x v="1"/>
    <d v="2024-04-01T00:00:00"/>
    <x v="3"/>
    <n v="2024"/>
    <n v="2"/>
    <n v="1"/>
    <n v="10000"/>
  </r>
  <r>
    <n v="73"/>
    <x v="1"/>
    <s v="Surabaya"/>
    <s v="Timur"/>
    <x v="43"/>
    <x v="1"/>
    <s v="P"/>
    <x v="1"/>
    <d v="2024-04-01T00:00:00"/>
    <x v="3"/>
    <n v="2024"/>
    <n v="2"/>
    <n v="3"/>
    <n v="18000"/>
  </r>
  <r>
    <n v="34"/>
    <x v="1"/>
    <s v="Surabaya"/>
    <s v="Timur"/>
    <x v="7"/>
    <x v="2"/>
    <s v="P"/>
    <x v="0"/>
    <d v="2024-04-10T00:00:00"/>
    <x v="3"/>
    <n v="2024"/>
    <n v="2"/>
    <n v="2"/>
    <n v="26000"/>
  </r>
  <r>
    <n v="94"/>
    <x v="1"/>
    <s v="Surabaya"/>
    <s v="Timur"/>
    <x v="44"/>
    <x v="0"/>
    <s v="P"/>
    <x v="0"/>
    <d v="2024-04-10T00:00:00"/>
    <x v="3"/>
    <n v="2024"/>
    <n v="2"/>
    <n v="1"/>
    <n v="23000"/>
  </r>
  <r>
    <n v="55"/>
    <x v="1"/>
    <s v="Surabaya"/>
    <s v="Timur"/>
    <x v="45"/>
    <x v="1"/>
    <s v="P"/>
    <x v="2"/>
    <d v="2024-04-15T00:00:00"/>
    <x v="3"/>
    <n v="2024"/>
    <n v="2"/>
    <n v="3"/>
    <n v="36000"/>
  </r>
  <r>
    <n v="16"/>
    <x v="1"/>
    <s v="Surabaya"/>
    <s v="Timur"/>
    <x v="9"/>
    <x v="2"/>
    <s v="L"/>
    <x v="0"/>
    <d v="2024-04-25T00:00:00"/>
    <x v="3"/>
    <n v="2024"/>
    <n v="2"/>
    <n v="1"/>
    <n v="15000"/>
  </r>
  <r>
    <n v="76"/>
    <x v="1"/>
    <s v="Surabaya"/>
    <s v="Timur"/>
    <x v="46"/>
    <x v="0"/>
    <s v="L"/>
    <x v="0"/>
    <d v="2024-04-25T00:00:00"/>
    <x v="3"/>
    <n v="2024"/>
    <n v="2"/>
    <n v="2"/>
    <n v="44000"/>
  </r>
  <r>
    <n v="37"/>
    <x v="1"/>
    <s v="Surabaya"/>
    <s v="Timur"/>
    <x v="12"/>
    <x v="1"/>
    <s v="P"/>
    <x v="2"/>
    <d v="2024-05-01T00:00:00"/>
    <x v="4"/>
    <n v="2024"/>
    <n v="2"/>
    <n v="2"/>
    <n v="14000"/>
  </r>
  <r>
    <n v="97"/>
    <x v="1"/>
    <s v="Surabaya"/>
    <s v="Timur"/>
    <x v="47"/>
    <x v="1"/>
    <s v="P"/>
    <x v="2"/>
    <d v="2024-05-01T00:00:00"/>
    <x v="4"/>
    <n v="2024"/>
    <n v="2"/>
    <n v="2"/>
    <n v="24000"/>
  </r>
  <r>
    <n v="58"/>
    <x v="1"/>
    <s v="Surabaya"/>
    <s v="Timur"/>
    <x v="48"/>
    <x v="0"/>
    <s v="P"/>
    <x v="1"/>
    <d v="2024-05-10T00:00:00"/>
    <x v="4"/>
    <n v="2024"/>
    <n v="2"/>
    <n v="2"/>
    <n v="34000"/>
  </r>
  <r>
    <n v="19"/>
    <x v="1"/>
    <s v="Surabaya"/>
    <s v="Timur"/>
    <x v="15"/>
    <x v="1"/>
    <s v="P"/>
    <x v="0"/>
    <d v="2024-05-15T00:00:00"/>
    <x v="4"/>
    <n v="2024"/>
    <n v="2"/>
    <n v="2"/>
    <n v="16000"/>
  </r>
  <r>
    <n v="79"/>
    <x v="1"/>
    <s v="Surabaya"/>
    <s v="Timur"/>
    <x v="49"/>
    <x v="0"/>
    <s v="P"/>
    <x v="0"/>
    <d v="2024-05-15T00:00:00"/>
    <x v="4"/>
    <n v="2024"/>
    <n v="2"/>
    <n v="3"/>
    <n v="51000"/>
  </r>
  <r>
    <n v="40"/>
    <x v="1"/>
    <s v="Surabaya"/>
    <s v="Timur"/>
    <x v="17"/>
    <x v="1"/>
    <s v="P"/>
    <x v="2"/>
    <d v="2024-05-25T00:00:00"/>
    <x v="4"/>
    <n v="2024"/>
    <n v="2"/>
    <n v="3"/>
    <n v="45000"/>
  </r>
  <r>
    <n v="100"/>
    <x v="1"/>
    <s v="Surabaya"/>
    <s v="Timur"/>
    <x v="0"/>
    <x v="0"/>
    <s v="P"/>
    <x v="2"/>
    <d v="2024-05-25T00:00:00"/>
    <x v="4"/>
    <n v="2024"/>
    <n v="2"/>
    <n v="3"/>
    <n v="60000"/>
  </r>
  <r>
    <n v="41"/>
    <x v="2"/>
    <s v="Bandung"/>
    <s v="Pusat"/>
    <x v="41"/>
    <x v="1"/>
    <s v="P"/>
    <x v="2"/>
    <d v="2024-01-01T00:00:00"/>
    <x v="0"/>
    <n v="2024"/>
    <n v="1"/>
    <n v="2"/>
    <n v="16000"/>
  </r>
  <r>
    <n v="62"/>
    <x v="2"/>
    <s v="Bandung"/>
    <s v="Pusat"/>
    <x v="18"/>
    <x v="2"/>
    <s v="P"/>
    <x v="2"/>
    <d v="2024-01-02T00:00:00"/>
    <x v="0"/>
    <n v="2024"/>
    <n v="1"/>
    <n v="3"/>
    <n v="30000"/>
  </r>
  <r>
    <n v="23"/>
    <x v="2"/>
    <s v="Bandung"/>
    <s v="Pusat"/>
    <x v="43"/>
    <x v="1"/>
    <s v="L"/>
    <x v="1"/>
    <d v="2024-01-10T00:00:00"/>
    <x v="0"/>
    <n v="2024"/>
    <n v="1"/>
    <n v="3"/>
    <n v="18000"/>
  </r>
  <r>
    <n v="83"/>
    <x v="2"/>
    <s v="Bandung"/>
    <s v="Pusat"/>
    <x v="20"/>
    <x v="2"/>
    <s v="L"/>
    <x v="1"/>
    <d v="2024-01-10T00:00:00"/>
    <x v="0"/>
    <n v="2024"/>
    <n v="1"/>
    <n v="1"/>
    <n v="14000"/>
  </r>
  <r>
    <n v="44"/>
    <x v="2"/>
    <s v="Bandung"/>
    <s v="Pusat"/>
    <x v="44"/>
    <x v="0"/>
    <s v="P"/>
    <x v="2"/>
    <d v="2024-01-15T00:00:00"/>
    <x v="0"/>
    <n v="2024"/>
    <n v="1"/>
    <n v="1"/>
    <n v="23000"/>
  </r>
  <r>
    <n v="3"/>
    <x v="2"/>
    <s v="Bandung"/>
    <s v="Pusat"/>
    <x v="22"/>
    <x v="1"/>
    <s v="L"/>
    <x v="0"/>
    <d v="2024-02-01T00:00:00"/>
    <x v="1"/>
    <n v="2024"/>
    <n v="1"/>
    <n v="1"/>
    <n v="8000"/>
  </r>
  <r>
    <n v="65"/>
    <x v="2"/>
    <s v="Bandung"/>
    <s v="Pusat"/>
    <x v="23"/>
    <x v="2"/>
    <s v="P"/>
    <x v="1"/>
    <d v="2024-02-01T00:00:00"/>
    <x v="1"/>
    <n v="2024"/>
    <n v="1"/>
    <n v="2"/>
    <n v="10000"/>
  </r>
  <r>
    <n v="8"/>
    <x v="2"/>
    <s v="Bandung"/>
    <s v="Pusat"/>
    <x v="48"/>
    <x v="0"/>
    <s v="L"/>
    <x v="1"/>
    <d v="2024-02-10T00:00:00"/>
    <x v="1"/>
    <n v="2024"/>
    <n v="1"/>
    <n v="3"/>
    <n v="51000"/>
  </r>
  <r>
    <n v="26"/>
    <x v="2"/>
    <s v="Bandung"/>
    <s v="Pusat"/>
    <x v="46"/>
    <x v="0"/>
    <s v="P"/>
    <x v="2"/>
    <d v="2024-02-10T00:00:00"/>
    <x v="1"/>
    <n v="2024"/>
    <n v="1"/>
    <n v="2"/>
    <n v="44000"/>
  </r>
  <r>
    <n v="86"/>
    <x v="2"/>
    <s v="Bandung"/>
    <s v="Pusat"/>
    <x v="25"/>
    <x v="1"/>
    <s v="P"/>
    <x v="2"/>
    <d v="2024-02-10T00:00:00"/>
    <x v="1"/>
    <n v="2024"/>
    <n v="1"/>
    <n v="4"/>
    <n v="20000"/>
  </r>
  <r>
    <n v="47"/>
    <x v="2"/>
    <s v="Bandung"/>
    <s v="Pusat"/>
    <x v="47"/>
    <x v="1"/>
    <s v="P"/>
    <x v="2"/>
    <d v="2024-02-14T00:00:00"/>
    <x v="1"/>
    <n v="2024"/>
    <n v="1"/>
    <n v="2"/>
    <n v="24000"/>
  </r>
  <r>
    <n v="68"/>
    <x v="2"/>
    <s v="Bandung"/>
    <s v="Pusat"/>
    <x v="28"/>
    <x v="1"/>
    <s v="L"/>
    <x v="1"/>
    <d v="2024-02-20T00:00:00"/>
    <x v="1"/>
    <n v="2024"/>
    <n v="1"/>
    <n v="3"/>
    <n v="21000"/>
  </r>
  <r>
    <n v="29"/>
    <x v="2"/>
    <s v="Bandung"/>
    <s v="Pusat"/>
    <x v="49"/>
    <x v="0"/>
    <s v="P"/>
    <x v="2"/>
    <d v="2024-03-01T00:00:00"/>
    <x v="2"/>
    <n v="2024"/>
    <n v="1"/>
    <n v="3"/>
    <n v="51000"/>
  </r>
  <r>
    <n v="89"/>
    <x v="2"/>
    <s v="Bandung"/>
    <s v="Pusat"/>
    <x v="30"/>
    <x v="1"/>
    <s v="P"/>
    <x v="2"/>
    <d v="2024-03-01T00:00:00"/>
    <x v="2"/>
    <n v="2024"/>
    <n v="1"/>
    <n v="2"/>
    <n v="24000"/>
  </r>
  <r>
    <n v="11"/>
    <x v="2"/>
    <s v="Bandung"/>
    <s v="Pusat"/>
    <x v="33"/>
    <x v="0"/>
    <s v="P"/>
    <x v="2"/>
    <d v="2024-03-10T00:00:00"/>
    <x v="2"/>
    <n v="2024"/>
    <n v="1"/>
    <n v="2"/>
    <n v="24000"/>
  </r>
  <r>
    <n v="50"/>
    <x v="2"/>
    <s v="Bandung"/>
    <s v="Pusat"/>
    <x v="0"/>
    <x v="0"/>
    <s v="P"/>
    <x v="1"/>
    <d v="2024-03-10T00:00:00"/>
    <x v="2"/>
    <n v="2024"/>
    <n v="1"/>
    <n v="3"/>
    <n v="60000"/>
  </r>
  <r>
    <n v="71"/>
    <x v="2"/>
    <s v="Bandung"/>
    <s v="Pusat"/>
    <x v="1"/>
    <x v="1"/>
    <s v="P"/>
    <x v="2"/>
    <d v="2024-03-15T00:00:00"/>
    <x v="2"/>
    <n v="2024"/>
    <n v="1"/>
    <n v="2"/>
    <n v="20000"/>
  </r>
  <r>
    <n v="32"/>
    <x v="2"/>
    <s v="Bandung"/>
    <s v="Pusat"/>
    <x v="35"/>
    <x v="2"/>
    <s v="P"/>
    <x v="2"/>
    <d v="2024-03-25T00:00:00"/>
    <x v="2"/>
    <n v="2024"/>
    <n v="1"/>
    <n v="2"/>
    <n v="32000"/>
  </r>
  <r>
    <n v="92"/>
    <x v="2"/>
    <s v="Bandung"/>
    <s v="Pusat"/>
    <x v="3"/>
    <x v="0"/>
    <s v="P"/>
    <x v="2"/>
    <d v="2024-03-25T00:00:00"/>
    <x v="2"/>
    <n v="2024"/>
    <n v="1"/>
    <n v="1"/>
    <n v="25000"/>
  </r>
  <r>
    <n v="53"/>
    <x v="2"/>
    <s v="Bandung"/>
    <s v="Pusat"/>
    <x v="42"/>
    <x v="2"/>
    <s v="L"/>
    <x v="1"/>
    <d v="2024-04-01T00:00:00"/>
    <x v="3"/>
    <n v="2024"/>
    <n v="2"/>
    <n v="1"/>
    <n v="10000"/>
  </r>
  <r>
    <n v="14"/>
    <x v="2"/>
    <s v="Bandung"/>
    <s v="Pusat"/>
    <x v="36"/>
    <x v="2"/>
    <s v="P"/>
    <x v="2"/>
    <d v="2024-04-10T00:00:00"/>
    <x v="3"/>
    <n v="2024"/>
    <n v="2"/>
    <n v="4"/>
    <n v="16000"/>
  </r>
  <r>
    <n v="74"/>
    <x v="2"/>
    <s v="Bandung"/>
    <s v="Pusat"/>
    <x v="6"/>
    <x v="0"/>
    <s v="P"/>
    <x v="2"/>
    <d v="2024-04-10T00:00:00"/>
    <x v="3"/>
    <n v="2024"/>
    <n v="2"/>
    <n v="2"/>
    <n v="28000"/>
  </r>
  <r>
    <n v="35"/>
    <x v="2"/>
    <s v="Bandung"/>
    <s v="Pusat"/>
    <x v="37"/>
    <x v="2"/>
    <s v="P"/>
    <x v="1"/>
    <d v="2024-04-15T00:00:00"/>
    <x v="3"/>
    <n v="2024"/>
    <n v="2"/>
    <n v="3"/>
    <n v="24000"/>
  </r>
  <r>
    <n v="95"/>
    <x v="2"/>
    <s v="Bandung"/>
    <s v="Pusat"/>
    <x v="8"/>
    <x v="0"/>
    <s v="P"/>
    <x v="1"/>
    <d v="2024-04-15T00:00:00"/>
    <x v="3"/>
    <n v="2024"/>
    <n v="2"/>
    <n v="2"/>
    <n v="30000"/>
  </r>
  <r>
    <n v="56"/>
    <x v="2"/>
    <s v="Bandung"/>
    <s v="Pusat"/>
    <x v="4"/>
    <x v="0"/>
    <s v="P"/>
    <x v="2"/>
    <d v="2024-04-25T00:00:00"/>
    <x v="3"/>
    <n v="2024"/>
    <n v="2"/>
    <n v="2"/>
    <n v="36000"/>
  </r>
  <r>
    <n v="17"/>
    <x v="2"/>
    <s v="Bandung"/>
    <s v="Pusat"/>
    <x v="38"/>
    <x v="2"/>
    <s v="P"/>
    <x v="2"/>
    <d v="2024-05-01T00:00:00"/>
    <x v="4"/>
    <n v="2024"/>
    <n v="2"/>
    <n v="2"/>
    <n v="36000"/>
  </r>
  <r>
    <n v="77"/>
    <x v="2"/>
    <s v="Bandung"/>
    <s v="Pusat"/>
    <x v="11"/>
    <x v="0"/>
    <s v="P"/>
    <x v="2"/>
    <d v="2024-05-01T00:00:00"/>
    <x v="4"/>
    <n v="2024"/>
    <n v="2"/>
    <n v="1"/>
    <n v="21000"/>
  </r>
  <r>
    <n v="38"/>
    <x v="2"/>
    <s v="Bandung"/>
    <s v="Pusat"/>
    <x v="39"/>
    <x v="1"/>
    <s v="L"/>
    <x v="1"/>
    <d v="2024-05-10T00:00:00"/>
    <x v="4"/>
    <n v="2024"/>
    <n v="2"/>
    <n v="1"/>
    <n v="10000"/>
  </r>
  <r>
    <n v="98"/>
    <x v="2"/>
    <s v="Bandung"/>
    <s v="Pusat"/>
    <x v="13"/>
    <x v="1"/>
    <s v="L"/>
    <x v="1"/>
    <d v="2024-05-10T00:00:00"/>
    <x v="4"/>
    <n v="2024"/>
    <n v="2"/>
    <n v="1"/>
    <n v="18000"/>
  </r>
  <r>
    <n v="59"/>
    <x v="2"/>
    <s v="Bandung"/>
    <s v="Pusat"/>
    <x v="10"/>
    <x v="0"/>
    <s v="P"/>
    <x v="2"/>
    <d v="2024-05-15T00:00:00"/>
    <x v="4"/>
    <n v="2024"/>
    <n v="2"/>
    <n v="3"/>
    <n v="48000"/>
  </r>
  <r>
    <n v="20"/>
    <x v="2"/>
    <s v="Bandung"/>
    <s v="Pusat"/>
    <x v="40"/>
    <x v="1"/>
    <s v="P"/>
    <x v="1"/>
    <d v="2024-05-25T00:00:00"/>
    <x v="4"/>
    <n v="2024"/>
    <n v="2"/>
    <n v="5"/>
    <n v="25000"/>
  </r>
  <r>
    <n v="80"/>
    <x v="2"/>
    <s v="Bandung"/>
    <s v="Pusat"/>
    <x v="16"/>
    <x v="2"/>
    <s v="P"/>
    <x v="1"/>
    <d v="2024-05-25T00:00:00"/>
    <x v="4"/>
    <n v="2024"/>
    <n v="2"/>
    <n v="2"/>
    <n v="2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0F833B-4212-4E0E-B12A-FCD8F506DA8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104:B108" firstHeaderRow="1" firstDataRow="1" firstDataCol="1"/>
  <pivotFields count="14">
    <pivotField dataField="1" showAll="0"/>
    <pivotField axis="axisRow" showAll="0">
      <items count="4">
        <item x="0"/>
        <item x="1"/>
        <item x="2"/>
        <item t="default"/>
      </items>
    </pivotField>
    <pivotField showAll="0"/>
    <pivotField showAll="0"/>
    <pivotField showAll="0">
      <items count="51">
        <item x="15"/>
        <item x="44"/>
        <item x="16"/>
        <item x="34"/>
        <item x="10"/>
        <item x="37"/>
        <item x="35"/>
        <item x="39"/>
        <item x="27"/>
        <item x="32"/>
        <item x="26"/>
        <item x="1"/>
        <item x="41"/>
        <item x="40"/>
        <item x="33"/>
        <item x="3"/>
        <item x="6"/>
        <item x="0"/>
        <item x="24"/>
        <item x="9"/>
        <item x="29"/>
        <item x="14"/>
        <item x="17"/>
        <item x="38"/>
        <item x="42"/>
        <item x="25"/>
        <item x="22"/>
        <item x="19"/>
        <item x="5"/>
        <item x="18"/>
        <item x="20"/>
        <item x="11"/>
        <item x="8"/>
        <item x="23"/>
        <item x="7"/>
        <item x="43"/>
        <item x="31"/>
        <item x="45"/>
        <item x="12"/>
        <item x="13"/>
        <item x="2"/>
        <item x="49"/>
        <item x="47"/>
        <item x="28"/>
        <item x="30"/>
        <item x="48"/>
        <item x="21"/>
        <item x="4"/>
        <item x="46"/>
        <item x="36"/>
        <item t="default"/>
      </items>
    </pivotField>
    <pivotField showAll="0">
      <items count="4">
        <item x="0"/>
        <item x="2"/>
        <item x="1"/>
        <item t="default"/>
      </items>
    </pivotField>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4" showAll="0"/>
    <pivotField showAll="0">
      <items count="6">
        <item x="0"/>
        <item x="1"/>
        <item x="2"/>
        <item x="3"/>
        <item x="4"/>
        <item t="default"/>
      </items>
    </pivotField>
    <pivotField showAll="0"/>
    <pivotField showAll="0"/>
    <pivotField showAll="0"/>
    <pivotField showAll="0"/>
  </pivotFields>
  <rowFields count="1">
    <field x="1"/>
  </rowFields>
  <rowItems count="4">
    <i>
      <x/>
    </i>
    <i>
      <x v="1"/>
    </i>
    <i>
      <x v="2"/>
    </i>
    <i t="grand">
      <x/>
    </i>
  </rowItems>
  <colItems count="1">
    <i/>
  </colItems>
  <dataFields count="1">
    <dataField name="Count of id_transaksi" fld="0" subtotal="count" baseField="7" baseItem="0"/>
  </dataFields>
  <formats count="5">
    <format dxfId="17">
      <pivotArea type="all" dataOnly="0" outline="0" fieldPosition="0"/>
    </format>
    <format dxfId="16">
      <pivotArea outline="0" collapsedLevelsAreSubtotals="1" fieldPosition="0"/>
    </format>
    <format dxfId="15">
      <pivotArea field="7" type="button" dataOnly="0" labelOnly="1" outline="0"/>
    </format>
    <format dxfId="14">
      <pivotArea dataOnly="0" labelOnly="1" grandRow="1" outline="0" fieldPosition="0"/>
    </format>
    <format dxfId="13">
      <pivotArea dataOnly="0" labelOnly="1" outline="0" axis="axisValues" fieldPosition="0"/>
    </format>
  </formats>
  <chartFormats count="5">
    <chartFormat chart="47"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1" format="1">
      <pivotArea type="data" outline="0" fieldPosition="0">
        <references count="2">
          <reference field="4294967294" count="1" selected="0">
            <x v="0"/>
          </reference>
          <reference field="1" count="1" selected="0">
            <x v="2"/>
          </reference>
        </references>
      </pivotArea>
    </chartFormat>
    <chartFormat chart="51" format="1">
      <pivotArea type="data" outline="0" fieldPosition="0">
        <references count="2">
          <reference field="4294967294" count="1" selected="0">
            <x v="0"/>
          </reference>
          <reference field="1" count="1" selected="0">
            <x v="0"/>
          </reference>
        </references>
      </pivotArea>
    </chartFormat>
    <chartFormat chart="51"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0402A2-92F7-4E5F-8B70-0FD9DB453B3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84:B88" firstHeaderRow="1" firstDataRow="1" firstDataCol="1"/>
  <pivotFields count="14">
    <pivotField dataField="1" showAll="0"/>
    <pivotField showAll="0">
      <items count="4">
        <item x="0"/>
        <item x="1"/>
        <item x="2"/>
        <item t="default"/>
      </items>
    </pivotField>
    <pivotField showAll="0"/>
    <pivotField showAll="0"/>
    <pivotField showAll="0">
      <items count="51">
        <item x="15"/>
        <item x="44"/>
        <item x="16"/>
        <item x="34"/>
        <item x="10"/>
        <item x="37"/>
        <item x="35"/>
        <item x="39"/>
        <item x="27"/>
        <item x="32"/>
        <item x="26"/>
        <item x="1"/>
        <item x="41"/>
        <item x="40"/>
        <item x="33"/>
        <item x="3"/>
        <item x="6"/>
        <item x="0"/>
        <item x="24"/>
        <item x="9"/>
        <item x="29"/>
        <item x="14"/>
        <item x="17"/>
        <item x="38"/>
        <item x="42"/>
        <item x="25"/>
        <item x="22"/>
        <item x="19"/>
        <item x="5"/>
        <item x="18"/>
        <item x="20"/>
        <item x="11"/>
        <item x="8"/>
        <item x="23"/>
        <item x="7"/>
        <item x="43"/>
        <item x="31"/>
        <item x="45"/>
        <item x="12"/>
        <item x="13"/>
        <item x="2"/>
        <item x="49"/>
        <item x="47"/>
        <item x="28"/>
        <item x="30"/>
        <item x="48"/>
        <item x="21"/>
        <item x="4"/>
        <item x="46"/>
        <item x="36"/>
        <item t="default"/>
      </items>
    </pivotField>
    <pivotField showAll="0">
      <items count="4">
        <item x="0"/>
        <item x="2"/>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4" showAll="0"/>
    <pivotField showAll="0">
      <items count="6">
        <item x="0"/>
        <item x="1"/>
        <item x="2"/>
        <item x="3"/>
        <item x="4"/>
        <item t="default"/>
      </items>
    </pivotField>
    <pivotField showAll="0"/>
    <pivotField showAll="0"/>
    <pivotField showAll="0"/>
    <pivotField showAll="0"/>
  </pivotFields>
  <rowFields count="1">
    <field x="7"/>
  </rowFields>
  <rowItems count="4">
    <i>
      <x/>
    </i>
    <i>
      <x v="2"/>
    </i>
    <i>
      <x v="1"/>
    </i>
    <i t="grand">
      <x/>
    </i>
  </rowItems>
  <colItems count="1">
    <i/>
  </colItems>
  <dataFields count="1">
    <dataField name="Count of id_transaksi" fld="0" subtotal="count" baseField="7" baseItem="0"/>
  </dataFields>
  <formats count="6">
    <format dxfId="23">
      <pivotArea type="all" dataOnly="0" outline="0" fieldPosition="0"/>
    </format>
    <format dxfId="22">
      <pivotArea outline="0" collapsedLevelsAreSubtotals="1" fieldPosition="0"/>
    </format>
    <format dxfId="21">
      <pivotArea field="7" type="button" dataOnly="0" labelOnly="1" outline="0" axis="axisRow" fieldPosition="0"/>
    </format>
    <format dxfId="20">
      <pivotArea dataOnly="0" labelOnly="1" fieldPosition="0">
        <references count="1">
          <reference field="7" count="0"/>
        </references>
      </pivotArea>
    </format>
    <format dxfId="19">
      <pivotArea dataOnly="0" labelOnly="1" grandRow="1" outline="0" fieldPosition="0"/>
    </format>
    <format dxfId="18">
      <pivotArea dataOnly="0" labelOnly="1" outline="0" axis="axisValues" fieldPosition="0"/>
    </format>
  </formats>
  <chartFormats count="4">
    <chartFormat chart="47" format="0" series="1">
      <pivotArea type="data" outline="0" fieldPosition="0">
        <references count="1">
          <reference field="4294967294" count="1" selected="0">
            <x v="0"/>
          </reference>
        </references>
      </pivotArea>
    </chartFormat>
    <chartFormat chart="47" format="1">
      <pivotArea type="data" outline="0" fieldPosition="0">
        <references count="2">
          <reference field="4294967294" count="1" selected="0">
            <x v="0"/>
          </reference>
          <reference field="7" count="1" selected="0">
            <x v="0"/>
          </reference>
        </references>
      </pivotArea>
    </chartFormat>
    <chartFormat chart="47" format="2">
      <pivotArea type="data" outline="0" fieldPosition="0">
        <references count="2">
          <reference field="4294967294" count="1" selected="0">
            <x v="0"/>
          </reference>
          <reference field="7" count="1" selected="0">
            <x v="2"/>
          </reference>
        </references>
      </pivotArea>
    </chartFormat>
    <chartFormat chart="47"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DBC615-52C7-4F8B-AE1E-8ABA7BDA10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63:B67" firstHeaderRow="1" firstDataRow="1" firstDataCol="1"/>
  <pivotFields count="14">
    <pivotField showAll="0"/>
    <pivotField showAll="0">
      <items count="4">
        <item x="0"/>
        <item x="1"/>
        <item x="2"/>
        <item t="default"/>
      </items>
    </pivotField>
    <pivotField showAll="0"/>
    <pivotField showAll="0"/>
    <pivotField showAll="0">
      <items count="51">
        <item x="15"/>
        <item x="44"/>
        <item x="16"/>
        <item x="34"/>
        <item x="10"/>
        <item x="37"/>
        <item x="35"/>
        <item x="39"/>
        <item x="27"/>
        <item x="32"/>
        <item x="26"/>
        <item x="1"/>
        <item x="41"/>
        <item x="40"/>
        <item x="33"/>
        <item x="3"/>
        <item x="6"/>
        <item x="0"/>
        <item x="24"/>
        <item x="9"/>
        <item x="29"/>
        <item x="14"/>
        <item x="17"/>
        <item x="38"/>
        <item x="42"/>
        <item x="25"/>
        <item x="22"/>
        <item x="19"/>
        <item x="5"/>
        <item x="18"/>
        <item x="20"/>
        <item x="11"/>
        <item x="8"/>
        <item x="23"/>
        <item x="7"/>
        <item x="43"/>
        <item x="31"/>
        <item x="45"/>
        <item x="12"/>
        <item x="13"/>
        <item x="2"/>
        <item x="49"/>
        <item x="47"/>
        <item x="28"/>
        <item x="30"/>
        <item x="48"/>
        <item x="21"/>
        <item x="4"/>
        <item x="46"/>
        <item x="36"/>
        <item t="default"/>
      </items>
    </pivotField>
    <pivotField axis="axisRow" showAll="0">
      <items count="4">
        <item x="0"/>
        <item x="2"/>
        <item x="1"/>
        <item t="default"/>
      </items>
    </pivotField>
    <pivotField showAll="0"/>
    <pivotField showAll="0">
      <items count="4">
        <item x="0"/>
        <item x="1"/>
        <item x="2"/>
        <item t="default"/>
      </items>
    </pivotField>
    <pivotField numFmtId="14" showAll="0"/>
    <pivotField showAll="0">
      <items count="6">
        <item x="0"/>
        <item x="1"/>
        <item x="2"/>
        <item x="3"/>
        <item x="4"/>
        <item t="default"/>
      </items>
    </pivotField>
    <pivotField showAll="0"/>
    <pivotField showAll="0"/>
    <pivotField showAll="0"/>
    <pivotField dataField="1" showAll="0"/>
  </pivotFields>
  <rowFields count="1">
    <field x="5"/>
  </rowFields>
  <rowItems count="4">
    <i>
      <x/>
    </i>
    <i>
      <x v="1"/>
    </i>
    <i>
      <x v="2"/>
    </i>
    <i t="grand">
      <x/>
    </i>
  </rowItems>
  <colItems count="1">
    <i/>
  </colItems>
  <dataFields count="1">
    <dataField name="Sum of total_harga" fld="13" baseField="0" baseItem="0" numFmtId="164"/>
  </dataFields>
  <formats count="5">
    <format dxfId="28">
      <pivotArea type="all" dataOnly="0" outline="0" fieldPosition="0"/>
    </format>
    <format dxfId="27">
      <pivotArea field="4" type="button" dataOnly="0" labelOnly="1" outline="0"/>
    </format>
    <format dxfId="26">
      <pivotArea dataOnly="0" labelOnly="1" grandRow="1" outline="0" fieldPosition="0"/>
    </format>
    <format dxfId="25">
      <pivotArea outline="0" collapsedLevelsAreSubtotals="1" fieldPosition="0"/>
    </format>
    <format dxfId="24">
      <pivotArea dataOnly="0" labelOnly="1" outline="0" axis="axisValues" fieldPosition="0"/>
    </format>
  </formats>
  <chartFormats count="5">
    <chartFormat chart="29"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5" count="1" selected="0">
            <x v="0"/>
          </reference>
        </references>
      </pivotArea>
    </chartFormat>
    <chartFormat chart="31" format="1">
      <pivotArea type="data" outline="0" fieldPosition="0">
        <references count="2">
          <reference field="4294967294" count="1" selected="0">
            <x v="0"/>
          </reference>
          <reference field="5" count="1" selected="0">
            <x v="2"/>
          </reference>
        </references>
      </pivotArea>
    </chartFormat>
    <chartFormat chart="31"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9D2CA5-F591-4062-AF28-D1A68AC246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26:B39" firstHeaderRow="1" firstDataRow="1" firstDataCol="1"/>
  <pivotFields count="14">
    <pivotField showAll="0"/>
    <pivotField showAll="0">
      <items count="4">
        <item x="0"/>
        <item x="1"/>
        <item x="2"/>
        <item t="default"/>
      </items>
    </pivotField>
    <pivotField showAll="0"/>
    <pivotField showAll="0"/>
    <pivotField axis="axisRow" showAll="0" measureFilter="1" sortType="descending">
      <items count="51">
        <item x="15"/>
        <item x="44"/>
        <item x="16"/>
        <item x="34"/>
        <item x="10"/>
        <item x="37"/>
        <item x="35"/>
        <item x="39"/>
        <item x="27"/>
        <item x="32"/>
        <item x="26"/>
        <item x="1"/>
        <item x="41"/>
        <item x="40"/>
        <item x="33"/>
        <item x="3"/>
        <item x="6"/>
        <item x="0"/>
        <item x="24"/>
        <item x="9"/>
        <item x="29"/>
        <item x="14"/>
        <item x="17"/>
        <item x="38"/>
        <item x="42"/>
        <item x="25"/>
        <item x="22"/>
        <item x="19"/>
        <item x="5"/>
        <item x="18"/>
        <item x="20"/>
        <item x="11"/>
        <item x="8"/>
        <item x="23"/>
        <item x="7"/>
        <item x="43"/>
        <item x="31"/>
        <item x="45"/>
        <item x="12"/>
        <item x="13"/>
        <item x="2"/>
        <item x="49"/>
        <item x="47"/>
        <item x="28"/>
        <item x="30"/>
        <item x="48"/>
        <item x="21"/>
        <item x="4"/>
        <item x="46"/>
        <item x="36"/>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items count="4">
        <item x="0"/>
        <item x="1"/>
        <item x="2"/>
        <item t="default"/>
      </items>
    </pivotField>
    <pivotField numFmtId="14" showAll="0"/>
    <pivotField showAll="0">
      <items count="6">
        <item x="0"/>
        <item x="1"/>
        <item x="2"/>
        <item x="3"/>
        <item x="4"/>
        <item t="default"/>
      </items>
    </pivotField>
    <pivotField showAll="0"/>
    <pivotField showAll="0"/>
    <pivotField dataField="1" showAll="0"/>
    <pivotField showAll="0"/>
  </pivotFields>
  <rowFields count="1">
    <field x="4"/>
  </rowFields>
  <rowItems count="13">
    <i>
      <x v="13"/>
    </i>
    <i>
      <x v="25"/>
    </i>
    <i>
      <x v="49"/>
    </i>
    <i>
      <x v="17"/>
    </i>
    <i>
      <x v="3"/>
    </i>
    <i>
      <x v="35"/>
    </i>
    <i>
      <x v="43"/>
    </i>
    <i>
      <x v="41"/>
    </i>
    <i>
      <x v="10"/>
    </i>
    <i>
      <x v="5"/>
    </i>
    <i>
      <x v="29"/>
    </i>
    <i>
      <x v="22"/>
    </i>
    <i t="grand">
      <x/>
    </i>
  </rowItems>
  <colItems count="1">
    <i/>
  </colItems>
  <dataFields count="1">
    <dataField name="Sum of jumlah" fld="12" baseField="4" baseItem="32"/>
  </dataFields>
  <formats count="6">
    <format dxfId="34">
      <pivotArea type="all" dataOnly="0" outline="0" fieldPosition="0"/>
    </format>
    <format dxfId="33">
      <pivotArea outline="0" collapsedLevelsAreSubtotals="1" fieldPosition="0"/>
    </format>
    <format dxfId="32">
      <pivotArea field="4" type="button" dataOnly="0" labelOnly="1" outline="0" axis="axisRow" fieldPosition="0"/>
    </format>
    <format dxfId="31">
      <pivotArea dataOnly="0" labelOnly="1" fieldPosition="0">
        <references count="1">
          <reference field="4" count="0"/>
        </references>
      </pivotArea>
    </format>
    <format dxfId="30">
      <pivotArea dataOnly="0" labelOnly="1" grandRow="1" outline="0" fieldPosition="0"/>
    </format>
    <format dxfId="29">
      <pivotArea dataOnly="0" labelOnly="1" outline="0" axis="axisValues" fieldPosition="0"/>
    </format>
  </formats>
  <chartFormats count="14">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4" count="1" selected="0">
            <x v="13"/>
          </reference>
        </references>
      </pivotArea>
    </chartFormat>
    <chartFormat chart="26" format="2">
      <pivotArea type="data" outline="0" fieldPosition="0">
        <references count="2">
          <reference field="4294967294" count="1" selected="0">
            <x v="0"/>
          </reference>
          <reference field="4" count="1" selected="0">
            <x v="25"/>
          </reference>
        </references>
      </pivotArea>
    </chartFormat>
    <chartFormat chart="26" format="3">
      <pivotArea type="data" outline="0" fieldPosition="0">
        <references count="2">
          <reference field="4294967294" count="1" selected="0">
            <x v="0"/>
          </reference>
          <reference field="4" count="1" selected="0">
            <x v="49"/>
          </reference>
        </references>
      </pivotArea>
    </chartFormat>
    <chartFormat chart="26" format="4">
      <pivotArea type="data" outline="0" fieldPosition="0">
        <references count="2">
          <reference field="4294967294" count="1" selected="0">
            <x v="0"/>
          </reference>
          <reference field="4" count="1" selected="0">
            <x v="17"/>
          </reference>
        </references>
      </pivotArea>
    </chartFormat>
    <chartFormat chart="26" format="5">
      <pivotArea type="data" outline="0" fieldPosition="0">
        <references count="2">
          <reference field="4294967294" count="1" selected="0">
            <x v="0"/>
          </reference>
          <reference field="4" count="1" selected="0">
            <x v="3"/>
          </reference>
        </references>
      </pivotArea>
    </chartFormat>
    <chartFormat chart="26" format="6">
      <pivotArea type="data" outline="0" fieldPosition="0">
        <references count="2">
          <reference field="4294967294" count="1" selected="0">
            <x v="0"/>
          </reference>
          <reference field="4" count="1" selected="0">
            <x v="35"/>
          </reference>
        </references>
      </pivotArea>
    </chartFormat>
    <chartFormat chart="26" format="7">
      <pivotArea type="data" outline="0" fieldPosition="0">
        <references count="2">
          <reference field="4294967294" count="1" selected="0">
            <x v="0"/>
          </reference>
          <reference field="4" count="1" selected="0">
            <x v="43"/>
          </reference>
        </references>
      </pivotArea>
    </chartFormat>
    <chartFormat chart="26" format="8">
      <pivotArea type="data" outline="0" fieldPosition="0">
        <references count="2">
          <reference field="4294967294" count="1" selected="0">
            <x v="0"/>
          </reference>
          <reference field="4" count="1" selected="0">
            <x v="41"/>
          </reference>
        </references>
      </pivotArea>
    </chartFormat>
    <chartFormat chart="26" format="9">
      <pivotArea type="data" outline="0" fieldPosition="0">
        <references count="2">
          <reference field="4294967294" count="1" selected="0">
            <x v="0"/>
          </reference>
          <reference field="4" count="1" selected="0">
            <x v="10"/>
          </reference>
        </references>
      </pivotArea>
    </chartFormat>
    <chartFormat chart="26" format="10">
      <pivotArea type="data" outline="0" fieldPosition="0">
        <references count="2">
          <reference field="4294967294" count="1" selected="0">
            <x v="0"/>
          </reference>
          <reference field="4" count="1" selected="0">
            <x v="5"/>
          </reference>
        </references>
      </pivotArea>
    </chartFormat>
    <chartFormat chart="26" format="11">
      <pivotArea type="data" outline="0" fieldPosition="0">
        <references count="2">
          <reference field="4294967294" count="1" selected="0">
            <x v="0"/>
          </reference>
          <reference field="4" count="1" selected="0">
            <x v="29"/>
          </reference>
        </references>
      </pivotArea>
    </chartFormat>
    <chartFormat chart="26" format="12">
      <pivotArea type="data" outline="0" fieldPosition="0">
        <references count="2">
          <reference field="4294967294" count="1" selected="0">
            <x v="0"/>
          </reference>
          <reference field="4" count="1" selected="0">
            <x v="22"/>
          </reference>
        </references>
      </pivotArea>
    </chartFormat>
    <chartFormat chart="26" format="13">
      <pivotArea type="data" outline="0" fieldPosition="0">
        <references count="2">
          <reference field="4294967294" count="1" selected="0">
            <x v="0"/>
          </reference>
          <reference field="4" count="1" selected="0">
            <x v="37"/>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0FDA8B-9163-41CC-B20A-6978B74C61E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B11" firstHeaderRow="1" firstDataRow="1" firstDataCol="1"/>
  <pivotFields count="14">
    <pivotField showAll="0"/>
    <pivotField axis="axisRow" showAll="0">
      <items count="4">
        <item x="0"/>
        <item x="1"/>
        <item x="2"/>
        <item t="default"/>
      </items>
    </pivotField>
    <pivotField showAll="0"/>
    <pivotField showAll="0"/>
    <pivotField showAll="0"/>
    <pivotField showAll="0">
      <items count="4">
        <item x="0"/>
        <item x="2"/>
        <item x="1"/>
        <item t="default"/>
      </items>
    </pivotField>
    <pivotField showAll="0"/>
    <pivotField showAll="0">
      <items count="4">
        <item x="0"/>
        <item x="1"/>
        <item x="2"/>
        <item t="default"/>
      </items>
    </pivotField>
    <pivotField numFmtId="14" showAll="0"/>
    <pivotField showAll="0">
      <items count="6">
        <item x="0"/>
        <item x="1"/>
        <item x="2"/>
        <item x="3"/>
        <item x="4"/>
        <item t="default"/>
      </items>
    </pivotField>
    <pivotField showAll="0"/>
    <pivotField showAll="0"/>
    <pivotField showAll="0"/>
    <pivotField dataField="1" showAll="0"/>
  </pivotFields>
  <rowFields count="1">
    <field x="1"/>
  </rowFields>
  <rowItems count="4">
    <i>
      <x/>
    </i>
    <i>
      <x v="1"/>
    </i>
    <i>
      <x v="2"/>
    </i>
    <i t="grand">
      <x/>
    </i>
  </rowItems>
  <colItems count="1">
    <i/>
  </colItems>
  <dataFields count="1">
    <dataField name="Sum of total_harga" fld="13" baseField="0" baseItem="0" numFmtId="164"/>
  </dataFields>
  <formats count="1">
    <format dxfId="35">
      <pivotArea outline="0" collapsedLevelsAreSubtotals="1" fieldPosition="0"/>
    </format>
  </formats>
  <chartFormats count="4">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2"/>
          </reference>
        </references>
      </pivotArea>
    </chartFormat>
    <chartFormat chart="7" format="1">
      <pivotArea type="data" outline="0" fieldPosition="0">
        <references count="2">
          <reference field="4294967294" count="1" selected="0">
            <x v="0"/>
          </reference>
          <reference field="1" count="1" selected="0">
            <x v="1"/>
          </reference>
        </references>
      </pivotArea>
    </chartFormat>
    <chartFormat chart="7" format="2">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C64C60-DFE3-436A-8D3F-986E3E63C5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items count="4">
        <item x="0"/>
        <item x="1"/>
        <item x="2"/>
        <item t="default"/>
      </items>
    </pivotField>
    <pivotField numFmtId="14" showAll="0"/>
    <pivotField showAll="0">
      <items count="6">
        <item x="0"/>
        <item x="1"/>
        <item x="2"/>
        <item x="3"/>
        <item x="4"/>
        <item t="default"/>
      </items>
    </pivotField>
    <pivotField showAll="0"/>
    <pivotField showAll="0"/>
    <pivotField showAll="0"/>
    <pivotField dataField="1" showAll="0"/>
  </pivotFields>
  <rowItems count="1">
    <i/>
  </rowItems>
  <colItems count="1">
    <i/>
  </colItems>
  <dataFields count="1">
    <dataField name="Sum of total_harga" fld="13" baseField="0" baseItem="0" numFmtId="164"/>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01266E-611A-43A2-B691-3B05071E880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7:C13" firstHeaderRow="1" firstDataRow="1" firstDataCol="1"/>
  <pivotFields count="14">
    <pivotField showAll="0"/>
    <pivotField showAll="0">
      <items count="4">
        <item x="0"/>
        <item x="1"/>
        <item x="2"/>
        <item t="default"/>
      </items>
    </pivotField>
    <pivotField showAll="0"/>
    <pivotField showAll="0"/>
    <pivotField showAll="0">
      <items count="51">
        <item x="15"/>
        <item x="44"/>
        <item x="16"/>
        <item x="34"/>
        <item x="10"/>
        <item x="37"/>
        <item x="35"/>
        <item x="39"/>
        <item x="27"/>
        <item x="32"/>
        <item x="26"/>
        <item x="1"/>
        <item x="41"/>
        <item x="40"/>
        <item x="33"/>
        <item x="3"/>
        <item x="6"/>
        <item x="0"/>
        <item x="24"/>
        <item x="9"/>
        <item x="29"/>
        <item x="14"/>
        <item x="17"/>
        <item x="38"/>
        <item x="42"/>
        <item x="25"/>
        <item x="22"/>
        <item x="19"/>
        <item x="5"/>
        <item x="18"/>
        <item x="20"/>
        <item x="11"/>
        <item x="8"/>
        <item x="23"/>
        <item x="7"/>
        <item x="43"/>
        <item x="31"/>
        <item x="45"/>
        <item x="12"/>
        <item x="13"/>
        <item x="2"/>
        <item x="49"/>
        <item x="47"/>
        <item x="28"/>
        <item x="30"/>
        <item x="48"/>
        <item x="21"/>
        <item x="4"/>
        <item x="46"/>
        <item x="36"/>
        <item t="default"/>
      </items>
    </pivotField>
    <pivotField showAll="0">
      <items count="4">
        <item x="0"/>
        <item x="2"/>
        <item x="1"/>
        <item t="default"/>
      </items>
    </pivotField>
    <pivotField showAll="0"/>
    <pivotField showAll="0">
      <items count="4">
        <item x="0"/>
        <item x="1"/>
        <item x="2"/>
        <item t="default"/>
      </items>
    </pivotField>
    <pivotField numFmtId="14" showAll="0"/>
    <pivotField axis="axisRow" showAll="0">
      <items count="6">
        <item x="0"/>
        <item x="1"/>
        <item x="2"/>
        <item x="3"/>
        <item x="4"/>
        <item t="default"/>
      </items>
    </pivotField>
    <pivotField showAll="0"/>
    <pivotField showAll="0"/>
    <pivotField showAll="0"/>
    <pivotField dataField="1" showAll="0"/>
  </pivotFields>
  <rowFields count="1">
    <field x="9"/>
  </rowFields>
  <rowItems count="6">
    <i>
      <x/>
    </i>
    <i>
      <x v="1"/>
    </i>
    <i>
      <x v="2"/>
    </i>
    <i>
      <x v="3"/>
    </i>
    <i>
      <x v="4"/>
    </i>
    <i t="grand">
      <x/>
    </i>
  </rowItems>
  <colItems count="1">
    <i/>
  </colItems>
  <dataFields count="1">
    <dataField name="Sum of total_harga" fld="13" baseField="0" baseItem="0" numFmtId="164"/>
  </dataFields>
  <formats count="5">
    <format dxfId="4">
      <pivotArea type="all" dataOnly="0" outline="0" fieldPosition="0"/>
    </format>
    <format dxfId="3">
      <pivotArea field="4" type="button" dataOnly="0" labelOnly="1" outline="0"/>
    </format>
    <format dxfId="2">
      <pivotArea dataOnly="0" labelOnly="1" grandRow="1" outline="0" fieldPosition="0"/>
    </format>
    <format dxfId="1">
      <pivotArea outline="0" collapsedLevelsAreSubtotals="1" fieldPosition="0"/>
    </format>
    <format dxfId="0">
      <pivotArea dataOnly="0" labelOnly="1" outline="0" axis="axisValues" fieldPosition="0"/>
    </format>
  </formats>
  <chartFormats count="3">
    <chartFormat chart="29" format="0" series="1">
      <pivotArea type="data" outline="0" fieldPosition="0">
        <references count="1">
          <reference field="4294967294" count="1" selected="0">
            <x v="0"/>
          </reference>
        </references>
      </pivotArea>
    </chartFormat>
    <chartFormat chart="29" format="1">
      <pivotArea type="data" outline="0" fieldPosition="0">
        <references count="2">
          <reference field="4294967294" count="1" selected="0">
            <x v="0"/>
          </reference>
          <reference field="9" count="1" selected="0">
            <x v="4"/>
          </reference>
        </references>
      </pivotArea>
    </chartFormat>
    <chartFormat chart="29" format="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7CDB51C-B065-4817-82BB-ED1377CB2EFF}" autoFormatId="16" applyNumberFormats="0" applyBorderFormats="0" applyFontFormats="0" applyPatternFormats="0" applyAlignmentFormats="0" applyWidthHeightFormats="0">
  <queryTableRefresh nextId="15">
    <queryTableFields count="14">
      <queryTableField id="1" name="id_transaksi" tableColumnId="1"/>
      <queryTableField id="2" name="nama_cabang" tableColumnId="2"/>
      <queryTableField id="3" name="kota" tableColumnId="3"/>
      <queryTableField id="4" name="region" tableColumnId="4"/>
      <queryTableField id="5" name="nama_produk" tableColumnId="5"/>
      <queryTableField id="6" name="kategori" tableColumnId="6"/>
      <queryTableField id="7" name="jenis_kelamin" tableColumnId="7"/>
      <queryTableField id="8" name="golongan_umur" tableColumnId="8"/>
      <queryTableField id="9" name="tanggal" tableColumnId="9"/>
      <queryTableField id="10" name="bulan" tableColumnId="10"/>
      <queryTableField id="11" name="tahun" tableColumnId="11"/>
      <queryTableField id="12" name="kuartal" tableColumnId="12"/>
      <queryTableField id="13" name="jumlah" tableColumnId="13"/>
      <queryTableField id="14" name="total_harga"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cabang" xr10:uid="{E8690034-1A53-4725-B981-D45D340C2188}" sourceName="nama_cabang">
  <pivotTables>
    <pivotTable tabId="3" name="PivotTable2"/>
    <pivotTable tabId="3" name="PivotTable1"/>
    <pivotTable tabId="3" name="PivotTable3"/>
    <pivotTable tabId="3" name="PivotTable5"/>
    <pivotTable tabId="3" name="PivotTable6"/>
    <pivotTable tabId="3" name="PivotTable7"/>
    <pivotTable tabId="1" name="PivotTable4"/>
  </pivotTables>
  <data>
    <tabular pivotCacheId="131979943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7DCB3E5D-0F74-4A6E-A371-50E908F89DD0}" sourceName="kategori">
  <pivotTables>
    <pivotTable tabId="3" name="PivotTable2"/>
    <pivotTable tabId="3" name="PivotTable1"/>
    <pivotTable tabId="3" name="PivotTable3"/>
    <pivotTable tabId="3" name="PivotTable5"/>
    <pivotTable tabId="3" name="PivotTable6"/>
    <pivotTable tabId="3" name="PivotTable7"/>
    <pivotTable tabId="1" name="PivotTable4"/>
  </pivotTables>
  <data>
    <tabular pivotCacheId="131979943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longan_umur" xr10:uid="{C8500327-A2B5-46BC-A4BC-274A43CFAC7D}" sourceName="golongan_umur">
  <pivotTables>
    <pivotTable tabId="3" name="PivotTable2"/>
    <pivotTable tabId="3" name="PivotTable1"/>
    <pivotTable tabId="3" name="PivotTable3"/>
    <pivotTable tabId="3" name="PivotTable5"/>
    <pivotTable tabId="3" name="PivotTable6"/>
    <pivotTable tabId="3" name="PivotTable7"/>
    <pivotTable tabId="1" name="PivotTable4"/>
  </pivotTables>
  <data>
    <tabular pivotCacheId="131979943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lan" xr10:uid="{EACD80E3-12B1-4927-8498-B851DED8AFD6}" sourceName="bulan">
  <pivotTables>
    <pivotTable tabId="3" name="PivotTable2"/>
    <pivotTable tabId="3" name="PivotTable1"/>
    <pivotTable tabId="3" name="PivotTable3"/>
    <pivotTable tabId="3" name="PivotTable5"/>
    <pivotTable tabId="3" name="PivotTable6"/>
    <pivotTable tabId="3" name="PivotTable7"/>
    <pivotTable tabId="1" name="PivotTable4"/>
  </pivotTables>
  <data>
    <tabular pivotCacheId="1319799431">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_cabang" xr10:uid="{FE02CDCE-FFFD-461F-A1A4-234A9AC3CB57}" cache="Slicer_nama_cabang" caption="nama_cabang" style="SlicerStyleLight1 2" rowHeight="241300"/>
  <slicer name="kategori" xr10:uid="{F0CFF181-3E1A-49BC-BBF3-D7941260552F}" cache="Slicer_kategori" caption="kategori" style="SlicerStyleLight1 2" rowHeight="241300"/>
  <slicer name="golongan_umur" xr10:uid="{A3A74475-E223-4E59-8ED5-DD4C99F56549}" cache="Slicer_golongan_umur" caption="golongan_umur" style="SlicerStyleLight1 2" rowHeight="241300"/>
  <slicer name="bulan" xr10:uid="{431B3FEB-333F-43C7-A213-A9B329817DD1}" cache="Slicer_bulan" caption="bulan" style="SlicerStyleLight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03B65A-4CDE-4B70-B23D-0CEB79314211}" name="retail_xyz_sql" displayName="retail_xyz_sql" ref="A1:N101" tableType="queryTable" totalsRowShown="0">
  <autoFilter ref="A1:N101" xr:uid="{8F03B65A-4CDE-4B70-B23D-0CEB79314211}"/>
  <tableColumns count="14">
    <tableColumn id="1" xr3:uid="{5B88A909-7B98-43EB-9649-45E7E3550052}" uniqueName="1" name="id_transaksi" queryTableFieldId="1"/>
    <tableColumn id="2" xr3:uid="{A9FE374C-6205-4EC6-B39A-066A71F6E121}" uniqueName="2" name="nama_cabang" queryTableFieldId="2" dataDxfId="12"/>
    <tableColumn id="3" xr3:uid="{63C9D85E-33EF-4368-9125-A8DFFEE8CFA5}" uniqueName="3" name="kota" queryTableFieldId="3" dataDxfId="11"/>
    <tableColumn id="4" xr3:uid="{96A4CD6B-DEBD-4754-A904-6C925EB5AE45}" uniqueName="4" name="region" queryTableFieldId="4" dataDxfId="10"/>
    <tableColumn id="5" xr3:uid="{DF3A366C-BA4B-48B7-9C0D-60E5D3A654ED}" uniqueName="5" name="nama_produk" queryTableFieldId="5" dataDxfId="9"/>
    <tableColumn id="6" xr3:uid="{DF92B4FE-8001-4195-86C0-F6E0E623F2DF}" uniqueName="6" name="kategori" queryTableFieldId="6" dataDxfId="8"/>
    <tableColumn id="7" xr3:uid="{5D6CB57A-ACF6-4295-88A9-C46FB1911291}" uniqueName="7" name="jenis_kelamin" queryTableFieldId="7" dataDxfId="7"/>
    <tableColumn id="8" xr3:uid="{5D9265B1-D34C-47A9-850F-9E4FC682BA53}" uniqueName="8" name="golongan_umur" queryTableFieldId="8" dataDxfId="6"/>
    <tableColumn id="9" xr3:uid="{143ED4D2-72ED-41A7-B26B-279A185EE0B1}" uniqueName="9" name="tanggal" queryTableFieldId="9" dataDxfId="5"/>
    <tableColumn id="10" xr3:uid="{B6832DCD-2237-430F-959E-E1347DB7E690}" uniqueName="10" name="bulan" queryTableFieldId="10"/>
    <tableColumn id="11" xr3:uid="{A0861B6D-BAFD-42EA-BBE9-B2636616A248}" uniqueName="11" name="tahun" queryTableFieldId="11"/>
    <tableColumn id="12" xr3:uid="{80610DC8-D31A-4A5F-8266-3BED5CD0892B}" uniqueName="12" name="kuartal" queryTableFieldId="12"/>
    <tableColumn id="13" xr3:uid="{3A5AC53E-D961-4D4D-A8DE-482C4D1742C4}" uniqueName="13" name="jumlah" queryTableFieldId="13"/>
    <tableColumn id="14" xr3:uid="{ED7C966E-1842-4EC9-983F-C687110F545C}" uniqueName="14" name="total_harga"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267E3-CAF9-4049-9544-8D058993A34C}">
  <dimension ref="A3:AS108"/>
  <sheetViews>
    <sheetView tabSelected="1" topLeftCell="F4" zoomScale="43" zoomScaleNormal="70" workbookViewId="0">
      <selection activeCell="AH47" sqref="AH47"/>
    </sheetView>
  </sheetViews>
  <sheetFormatPr defaultRowHeight="14.5" x14ac:dyDescent="0.35"/>
  <cols>
    <col min="1" max="1" width="13.6328125" bestFit="1" customWidth="1"/>
    <col min="2" max="2" width="18.90625" bestFit="1" customWidth="1"/>
    <col min="15" max="18" width="8.7265625" customWidth="1"/>
    <col min="19" max="19" width="29.6328125" bestFit="1" customWidth="1"/>
    <col min="27" max="27" width="4.6328125" customWidth="1"/>
    <col min="35" max="35" width="0.36328125" customWidth="1"/>
    <col min="36" max="36" width="4.26953125" customWidth="1"/>
    <col min="43" max="43" width="26.1796875" customWidth="1"/>
    <col min="44" max="44" width="8.7265625" hidden="1" customWidth="1"/>
  </cols>
  <sheetData>
    <row r="3" spans="1:45" x14ac:dyDescent="0.35">
      <c r="A3" t="s">
        <v>81</v>
      </c>
    </row>
    <row r="4" spans="1:45" ht="87" customHeight="1" x14ac:dyDescent="0.35">
      <c r="A4" s="2">
        <v>2566000</v>
      </c>
      <c r="O4" s="6" t="s">
        <v>93</v>
      </c>
      <c r="P4" s="6"/>
      <c r="Q4" s="6"/>
      <c r="R4" s="6"/>
      <c r="S4" s="6"/>
      <c r="T4" s="6"/>
      <c r="U4" s="6"/>
      <c r="V4" s="6"/>
      <c r="W4" s="6"/>
      <c r="X4" s="6"/>
      <c r="Y4" s="6"/>
      <c r="Z4" s="6"/>
      <c r="AA4" s="6"/>
      <c r="AB4" s="6"/>
      <c r="AC4" s="6"/>
      <c r="AD4" s="6"/>
      <c r="AE4" s="6"/>
      <c r="AF4" s="6"/>
      <c r="AG4" s="6"/>
      <c r="AH4" s="6"/>
      <c r="AI4" s="6"/>
      <c r="AJ4" s="6"/>
      <c r="AK4" s="6"/>
      <c r="AL4" s="6"/>
      <c r="AM4" s="6"/>
      <c r="AN4" s="6"/>
      <c r="AO4" s="6"/>
      <c r="AP4" s="6"/>
      <c r="AQ4" s="6"/>
      <c r="AS4" s="5"/>
    </row>
    <row r="5" spans="1:45" x14ac:dyDescent="0.35">
      <c r="AS5" s="5"/>
    </row>
    <row r="6" spans="1:45" ht="61.5" customHeight="1" x14ac:dyDescent="0.35">
      <c r="O6" s="7" t="s">
        <v>92</v>
      </c>
      <c r="P6" s="7"/>
      <c r="Q6" s="7"/>
      <c r="R6" s="7"/>
      <c r="S6" s="7"/>
      <c r="T6" s="7"/>
      <c r="U6" s="7"/>
      <c r="V6" s="7"/>
      <c r="W6" s="7"/>
      <c r="X6" s="7"/>
      <c r="Y6" s="7"/>
      <c r="Z6" s="7"/>
      <c r="AA6" s="7"/>
      <c r="AB6" s="7"/>
      <c r="AC6" s="7"/>
      <c r="AD6" s="7"/>
      <c r="AE6" s="7"/>
      <c r="AF6" s="7"/>
      <c r="AG6" s="7"/>
      <c r="AH6" s="7"/>
      <c r="AI6" s="7"/>
      <c r="AJ6" s="7"/>
      <c r="AK6" s="7"/>
      <c r="AL6" s="7"/>
      <c r="AM6" s="7"/>
      <c r="AN6" s="7"/>
      <c r="AO6" s="7"/>
      <c r="AP6" s="7"/>
      <c r="AQ6" s="7"/>
      <c r="AS6" s="5"/>
    </row>
    <row r="7" spans="1:45" ht="38.5" customHeight="1" x14ac:dyDescent="0.35">
      <c r="A7" s="3" t="s">
        <v>82</v>
      </c>
      <c r="B7" t="s">
        <v>81</v>
      </c>
      <c r="O7" s="8">
        <f>A4</f>
        <v>2566000</v>
      </c>
      <c r="P7" s="8"/>
      <c r="Q7" s="8"/>
      <c r="R7" s="8"/>
      <c r="S7" s="8"/>
      <c r="T7" s="8"/>
      <c r="U7" s="8"/>
      <c r="V7" s="8"/>
      <c r="W7" s="8"/>
      <c r="X7" s="8"/>
      <c r="Y7" s="8"/>
      <c r="Z7" s="8"/>
      <c r="AA7" s="8"/>
      <c r="AB7" s="8"/>
      <c r="AC7" s="8"/>
      <c r="AD7" s="8"/>
      <c r="AE7" s="8"/>
      <c r="AF7" s="8"/>
      <c r="AG7" s="8"/>
      <c r="AH7" s="8"/>
      <c r="AI7" s="8"/>
      <c r="AJ7" s="8"/>
      <c r="AK7" s="8"/>
      <c r="AL7" s="8"/>
      <c r="AM7" s="8"/>
      <c r="AN7" s="8"/>
      <c r="AO7" s="8"/>
      <c r="AP7" s="8"/>
      <c r="AQ7" s="8"/>
      <c r="AS7" s="5"/>
    </row>
    <row r="8" spans="1:45" x14ac:dyDescent="0.35">
      <c r="A8" s="4" t="s">
        <v>14</v>
      </c>
      <c r="B8" s="2">
        <v>838000</v>
      </c>
      <c r="O8" s="5"/>
      <c r="P8" s="5"/>
      <c r="Q8" s="5"/>
      <c r="R8" s="5"/>
      <c r="AS8" s="5"/>
    </row>
    <row r="9" spans="1:45" ht="14.5" customHeight="1" x14ac:dyDescent="0.35">
      <c r="A9" s="4" t="s">
        <v>57</v>
      </c>
      <c r="B9" s="2">
        <v>887000</v>
      </c>
      <c r="O9" s="5"/>
      <c r="P9" s="5"/>
      <c r="Q9" s="5"/>
      <c r="R9" s="5"/>
      <c r="S9" s="9" t="s">
        <v>86</v>
      </c>
      <c r="T9" s="9"/>
      <c r="U9" s="9"/>
      <c r="V9" s="9"/>
      <c r="W9" s="9"/>
      <c r="X9" s="9"/>
      <c r="Y9" s="9"/>
      <c r="Z9" s="9"/>
      <c r="AB9" s="9" t="s">
        <v>87</v>
      </c>
      <c r="AC9" s="9"/>
      <c r="AD9" s="9"/>
      <c r="AE9" s="9"/>
      <c r="AF9" s="9"/>
      <c r="AG9" s="9"/>
      <c r="AH9" s="9"/>
      <c r="AI9" s="9"/>
      <c r="AK9" s="9" t="s">
        <v>88</v>
      </c>
      <c r="AL9" s="9"/>
      <c r="AM9" s="9"/>
      <c r="AN9" s="9"/>
      <c r="AO9" s="9"/>
      <c r="AP9" s="9"/>
      <c r="AQ9" s="9"/>
      <c r="AR9" s="9"/>
      <c r="AS9" s="5"/>
    </row>
    <row r="10" spans="1:45" ht="14.5" customHeight="1" x14ac:dyDescent="0.35">
      <c r="A10" s="4" t="s">
        <v>78</v>
      </c>
      <c r="B10" s="2">
        <v>841000</v>
      </c>
      <c r="O10" s="5"/>
      <c r="P10" s="5"/>
      <c r="Q10" s="5"/>
      <c r="R10" s="5"/>
      <c r="S10" s="9"/>
      <c r="T10" s="9"/>
      <c r="U10" s="9"/>
      <c r="V10" s="9"/>
      <c r="W10" s="9"/>
      <c r="X10" s="9"/>
      <c r="Y10" s="9"/>
      <c r="Z10" s="9"/>
      <c r="AB10" s="9"/>
      <c r="AC10" s="9"/>
      <c r="AD10" s="9"/>
      <c r="AE10" s="9"/>
      <c r="AF10" s="9"/>
      <c r="AG10" s="9"/>
      <c r="AH10" s="9"/>
      <c r="AI10" s="9"/>
      <c r="AK10" s="9"/>
      <c r="AL10" s="9"/>
      <c r="AM10" s="9"/>
      <c r="AN10" s="9"/>
      <c r="AO10" s="9"/>
      <c r="AP10" s="9"/>
      <c r="AQ10" s="9"/>
      <c r="AR10" s="9"/>
      <c r="AS10" s="5"/>
    </row>
    <row r="11" spans="1:45" x14ac:dyDescent="0.35">
      <c r="A11" s="4" t="s">
        <v>83</v>
      </c>
      <c r="B11" s="2">
        <v>2566000</v>
      </c>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row>
    <row r="12" spans="1:45" x14ac:dyDescent="0.3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row>
    <row r="13" spans="1:45" x14ac:dyDescent="0.3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row>
    <row r="14" spans="1:45" x14ac:dyDescent="0.3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row>
    <row r="15" spans="1:45" x14ac:dyDescent="0.3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row>
    <row r="16" spans="1:45" x14ac:dyDescent="0.3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row>
    <row r="17" spans="1:45" x14ac:dyDescent="0.3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row>
    <row r="18" spans="1:45" x14ac:dyDescent="0.3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row>
    <row r="19" spans="1:45" x14ac:dyDescent="0.3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row>
    <row r="20" spans="1:45" x14ac:dyDescent="0.3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row>
    <row r="21" spans="1:45" x14ac:dyDescent="0.3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row>
    <row r="22" spans="1:45" x14ac:dyDescent="0.3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row>
    <row r="23" spans="1:45" x14ac:dyDescent="0.3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row>
    <row r="24" spans="1:45" x14ac:dyDescent="0.3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row>
    <row r="25" spans="1:45" x14ac:dyDescent="0.3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row>
    <row r="26" spans="1:45" x14ac:dyDescent="0.35">
      <c r="A26" s="3" t="s">
        <v>82</v>
      </c>
      <c r="B26" t="s">
        <v>84</v>
      </c>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row>
    <row r="27" spans="1:45" x14ac:dyDescent="0.35">
      <c r="A27" s="4" t="s">
        <v>68</v>
      </c>
      <c r="B27">
        <v>10</v>
      </c>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row>
    <row r="28" spans="1:45" ht="14.5" customHeight="1" x14ac:dyDescent="0.35">
      <c r="A28" s="4" t="s">
        <v>49</v>
      </c>
      <c r="B28">
        <v>8</v>
      </c>
      <c r="O28" s="5"/>
      <c r="P28" s="5"/>
      <c r="Q28" s="5"/>
      <c r="R28" s="5"/>
      <c r="S28" s="9" t="s">
        <v>89</v>
      </c>
      <c r="T28" s="9"/>
      <c r="U28" s="9"/>
      <c r="V28" s="9"/>
      <c r="W28" s="9"/>
      <c r="X28" s="9"/>
      <c r="Y28" s="9"/>
      <c r="Z28" s="9"/>
      <c r="AB28" s="9" t="s">
        <v>90</v>
      </c>
      <c r="AC28" s="9"/>
      <c r="AD28" s="9"/>
      <c r="AE28" s="9"/>
      <c r="AF28" s="9"/>
      <c r="AG28" s="9"/>
      <c r="AH28" s="9"/>
      <c r="AI28" s="9"/>
      <c r="AK28" s="9" t="s">
        <v>91</v>
      </c>
      <c r="AL28" s="9"/>
      <c r="AM28" s="9"/>
      <c r="AN28" s="9"/>
      <c r="AO28" s="9"/>
      <c r="AP28" s="9"/>
      <c r="AQ28" s="9"/>
      <c r="AR28" s="9"/>
      <c r="AS28" s="5"/>
    </row>
    <row r="29" spans="1:45" ht="14.5" customHeight="1" x14ac:dyDescent="0.35">
      <c r="A29" s="4" t="s">
        <v>64</v>
      </c>
      <c r="B29">
        <v>8</v>
      </c>
      <c r="O29" s="5"/>
      <c r="P29" s="5"/>
      <c r="Q29" s="5"/>
      <c r="R29" s="5"/>
      <c r="S29" s="9"/>
      <c r="T29" s="9"/>
      <c r="U29" s="9"/>
      <c r="V29" s="9"/>
      <c r="W29" s="9"/>
      <c r="X29" s="9"/>
      <c r="Y29" s="9"/>
      <c r="Z29" s="9"/>
      <c r="AB29" s="9"/>
      <c r="AC29" s="9"/>
      <c r="AD29" s="9"/>
      <c r="AE29" s="9"/>
      <c r="AF29" s="9"/>
      <c r="AG29" s="9"/>
      <c r="AH29" s="9"/>
      <c r="AI29" s="9"/>
      <c r="AK29" s="9"/>
      <c r="AL29" s="9"/>
      <c r="AM29" s="9"/>
      <c r="AN29" s="9"/>
      <c r="AO29" s="9"/>
      <c r="AP29" s="9"/>
      <c r="AQ29" s="9"/>
      <c r="AR29" s="9"/>
      <c r="AS29" s="5"/>
    </row>
    <row r="30" spans="1:45" x14ac:dyDescent="0.35">
      <c r="A30" s="4" t="s">
        <v>17</v>
      </c>
      <c r="B30">
        <v>8</v>
      </c>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S30" s="5"/>
    </row>
    <row r="31" spans="1:45" x14ac:dyDescent="0.35">
      <c r="A31" s="4" t="s">
        <v>61</v>
      </c>
      <c r="B31">
        <v>7</v>
      </c>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S31" s="5"/>
    </row>
    <row r="32" spans="1:45" x14ac:dyDescent="0.35">
      <c r="A32" s="4" t="s">
        <v>71</v>
      </c>
      <c r="B32">
        <v>6</v>
      </c>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S32" s="5"/>
    </row>
    <row r="33" spans="1:45" x14ac:dyDescent="0.35">
      <c r="A33" s="4" t="s">
        <v>52</v>
      </c>
      <c r="B33">
        <v>6</v>
      </c>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S33" s="5"/>
    </row>
    <row r="34" spans="1:45" x14ac:dyDescent="0.35">
      <c r="A34" s="4" t="s">
        <v>77</v>
      </c>
      <c r="B34">
        <v>6</v>
      </c>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S34" s="5"/>
    </row>
    <row r="35" spans="1:45" x14ac:dyDescent="0.35">
      <c r="A35" s="4" t="s">
        <v>50</v>
      </c>
      <c r="B35">
        <v>6</v>
      </c>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S35" s="5"/>
    </row>
    <row r="36" spans="1:45" x14ac:dyDescent="0.35">
      <c r="A36" s="4" t="s">
        <v>65</v>
      </c>
      <c r="B36">
        <v>6</v>
      </c>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S36" s="5"/>
    </row>
    <row r="37" spans="1:45" x14ac:dyDescent="0.35">
      <c r="A37" s="4" t="s">
        <v>42</v>
      </c>
      <c r="B37">
        <v>6</v>
      </c>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S37" s="5"/>
    </row>
    <row r="38" spans="1:45" x14ac:dyDescent="0.35">
      <c r="A38" s="4" t="s">
        <v>41</v>
      </c>
      <c r="B38">
        <v>6</v>
      </c>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S38" s="5"/>
    </row>
    <row r="39" spans="1:45" x14ac:dyDescent="0.35">
      <c r="A39" s="4" t="s">
        <v>83</v>
      </c>
      <c r="B39">
        <v>83</v>
      </c>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S39" s="5"/>
    </row>
    <row r="40" spans="1:45" x14ac:dyDescent="0.3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S40" s="5"/>
    </row>
    <row r="41" spans="1:45" x14ac:dyDescent="0.3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S41" s="5"/>
    </row>
    <row r="42" spans="1:45" x14ac:dyDescent="0.3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S42" s="5"/>
    </row>
    <row r="43" spans="1:45" x14ac:dyDescent="0.3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S43" s="5"/>
    </row>
    <row r="44" spans="1:45" x14ac:dyDescent="0.3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S44" s="5"/>
    </row>
    <row r="45" spans="1:45" x14ac:dyDescent="0.3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S45" s="5"/>
    </row>
    <row r="46" spans="1:45" x14ac:dyDescent="0.3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S46" s="5"/>
    </row>
    <row r="63" spans="1:2" x14ac:dyDescent="0.35">
      <c r="A63" s="3" t="s">
        <v>82</v>
      </c>
      <c r="B63" s="2" t="s">
        <v>81</v>
      </c>
    </row>
    <row r="64" spans="1:2" x14ac:dyDescent="0.35">
      <c r="A64" s="4" t="s">
        <v>18</v>
      </c>
      <c r="B64" s="2">
        <v>1239000</v>
      </c>
    </row>
    <row r="65" spans="1:2" x14ac:dyDescent="0.35">
      <c r="A65" s="4" t="s">
        <v>24</v>
      </c>
      <c r="B65" s="2">
        <v>587000</v>
      </c>
    </row>
    <row r="66" spans="1:2" x14ac:dyDescent="0.35">
      <c r="A66" s="4" t="s">
        <v>22</v>
      </c>
      <c r="B66" s="2">
        <v>740000</v>
      </c>
    </row>
    <row r="67" spans="1:2" x14ac:dyDescent="0.35">
      <c r="A67" s="4" t="s">
        <v>83</v>
      </c>
      <c r="B67" s="2">
        <v>2566000</v>
      </c>
    </row>
    <row r="84" spans="1:2" x14ac:dyDescent="0.35">
      <c r="A84" s="3" t="s">
        <v>82</v>
      </c>
      <c r="B84" t="s">
        <v>85</v>
      </c>
    </row>
    <row r="85" spans="1:2" x14ac:dyDescent="0.35">
      <c r="A85" s="4" t="s">
        <v>20</v>
      </c>
      <c r="B85">
        <v>41</v>
      </c>
    </row>
    <row r="86" spans="1:2" x14ac:dyDescent="0.35">
      <c r="A86" s="4" t="s">
        <v>62</v>
      </c>
      <c r="B86">
        <v>33</v>
      </c>
    </row>
    <row r="87" spans="1:2" x14ac:dyDescent="0.35">
      <c r="A87" s="4" t="s">
        <v>26</v>
      </c>
      <c r="B87">
        <v>26</v>
      </c>
    </row>
    <row r="88" spans="1:2" x14ac:dyDescent="0.35">
      <c r="A88" s="4" t="s">
        <v>83</v>
      </c>
      <c r="B88">
        <v>100</v>
      </c>
    </row>
    <row r="104" spans="1:2" x14ac:dyDescent="0.35">
      <c r="A104" s="3" t="s">
        <v>82</v>
      </c>
      <c r="B104" t="s">
        <v>85</v>
      </c>
    </row>
    <row r="105" spans="1:2" x14ac:dyDescent="0.35">
      <c r="A105" s="4" t="s">
        <v>14</v>
      </c>
      <c r="B105">
        <v>34</v>
      </c>
    </row>
    <row r="106" spans="1:2" x14ac:dyDescent="0.35">
      <c r="A106" s="4" t="s">
        <v>57</v>
      </c>
      <c r="B106">
        <v>34</v>
      </c>
    </row>
    <row r="107" spans="1:2" x14ac:dyDescent="0.35">
      <c r="A107" s="4" t="s">
        <v>78</v>
      </c>
      <c r="B107">
        <v>32</v>
      </c>
    </row>
    <row r="108" spans="1:2" x14ac:dyDescent="0.35">
      <c r="A108" s="4" t="s">
        <v>83</v>
      </c>
      <c r="B108">
        <v>100</v>
      </c>
    </row>
  </sheetData>
  <mergeCells count="13">
    <mergeCell ref="AS4:AS46"/>
    <mergeCell ref="O8:R46"/>
    <mergeCell ref="O4:AQ4"/>
    <mergeCell ref="O6:AQ6"/>
    <mergeCell ref="O7:AQ7"/>
    <mergeCell ref="AK28:AR29"/>
    <mergeCell ref="S11:AR27"/>
    <mergeCell ref="S30:AQ46"/>
    <mergeCell ref="S9:Z10"/>
    <mergeCell ref="AB9:AI10"/>
    <mergeCell ref="AK9:AR10"/>
    <mergeCell ref="S28:Z29"/>
    <mergeCell ref="AB28:AI29"/>
  </mergeCells>
  <pageMargins left="0.7" right="0.7" top="0.75" bottom="0.75" header="0.3" footer="0.3"/>
  <pageSetup orientation="landscape"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98C45-64BB-420B-92C5-224198DDA784}">
  <dimension ref="A1:N101"/>
  <sheetViews>
    <sheetView topLeftCell="A2" workbookViewId="0">
      <selection sqref="A1:N101"/>
    </sheetView>
  </sheetViews>
  <sheetFormatPr defaultRowHeight="14.5" x14ac:dyDescent="0.35"/>
  <cols>
    <col min="1" max="1" width="13.26953125" bestFit="1" customWidth="1"/>
    <col min="2" max="2" width="14.7265625" bestFit="1" customWidth="1"/>
    <col min="3" max="3" width="8.54296875" bestFit="1" customWidth="1"/>
    <col min="4" max="4" width="8.36328125" bestFit="1" customWidth="1"/>
    <col min="5" max="5" width="18.54296875" bestFit="1" customWidth="1"/>
    <col min="6" max="6" width="10" bestFit="1" customWidth="1"/>
    <col min="7" max="7" width="14.6328125" bestFit="1" customWidth="1"/>
    <col min="8" max="8" width="16.36328125" bestFit="1" customWidth="1"/>
    <col min="9" max="9" width="9.453125" bestFit="1" customWidth="1"/>
    <col min="10" max="10" width="7.81640625" bestFit="1" customWidth="1"/>
    <col min="11" max="11" width="8.08984375" bestFit="1" customWidth="1"/>
    <col min="12" max="12" width="9.08984375" bestFit="1" customWidth="1"/>
    <col min="13" max="13" width="8.90625" bestFit="1" customWidth="1"/>
    <col min="14" max="14" width="12.81640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v>
      </c>
      <c r="B2" t="s">
        <v>14</v>
      </c>
      <c r="C2" t="s">
        <v>15</v>
      </c>
      <c r="D2" t="s">
        <v>16</v>
      </c>
      <c r="E2" t="s">
        <v>17</v>
      </c>
      <c r="F2" t="s">
        <v>18</v>
      </c>
      <c r="G2" t="s">
        <v>19</v>
      </c>
      <c r="H2" t="s">
        <v>20</v>
      </c>
      <c r="I2" s="1">
        <v>45292</v>
      </c>
      <c r="J2">
        <v>1</v>
      </c>
      <c r="K2">
        <v>2024</v>
      </c>
      <c r="L2">
        <v>1</v>
      </c>
      <c r="M2">
        <v>2</v>
      </c>
      <c r="N2">
        <v>40000</v>
      </c>
    </row>
    <row r="3" spans="1:14" x14ac:dyDescent="0.35">
      <c r="A3">
        <v>21</v>
      </c>
      <c r="B3" t="s">
        <v>14</v>
      </c>
      <c r="C3" t="s">
        <v>15</v>
      </c>
      <c r="D3" t="s">
        <v>16</v>
      </c>
      <c r="E3" t="s">
        <v>21</v>
      </c>
      <c r="F3" t="s">
        <v>22</v>
      </c>
      <c r="G3" t="s">
        <v>19</v>
      </c>
      <c r="H3" t="s">
        <v>20</v>
      </c>
      <c r="I3" s="1">
        <v>45292</v>
      </c>
      <c r="J3">
        <v>1</v>
      </c>
      <c r="K3">
        <v>2024</v>
      </c>
      <c r="L3">
        <v>1</v>
      </c>
      <c r="M3">
        <v>2</v>
      </c>
      <c r="N3">
        <v>20000</v>
      </c>
    </row>
    <row r="4" spans="1:14" x14ac:dyDescent="0.35">
      <c r="A4">
        <v>81</v>
      </c>
      <c r="B4" t="s">
        <v>14</v>
      </c>
      <c r="C4" t="s">
        <v>15</v>
      </c>
      <c r="D4" t="s">
        <v>16</v>
      </c>
      <c r="E4" t="s">
        <v>23</v>
      </c>
      <c r="F4" t="s">
        <v>24</v>
      </c>
      <c r="G4" t="s">
        <v>19</v>
      </c>
      <c r="H4" t="s">
        <v>20</v>
      </c>
      <c r="I4" s="1">
        <v>45292</v>
      </c>
      <c r="J4">
        <v>1</v>
      </c>
      <c r="K4">
        <v>2024</v>
      </c>
      <c r="L4">
        <v>1</v>
      </c>
      <c r="M4">
        <v>1</v>
      </c>
      <c r="N4">
        <v>15000</v>
      </c>
    </row>
    <row r="5" spans="1:14" x14ac:dyDescent="0.35">
      <c r="A5">
        <v>42</v>
      </c>
      <c r="B5" t="s">
        <v>14</v>
      </c>
      <c r="C5" t="s">
        <v>15</v>
      </c>
      <c r="D5" t="s">
        <v>16</v>
      </c>
      <c r="E5" t="s">
        <v>25</v>
      </c>
      <c r="F5" t="s">
        <v>18</v>
      </c>
      <c r="G5" t="s">
        <v>19</v>
      </c>
      <c r="H5" t="s">
        <v>26</v>
      </c>
      <c r="I5" s="1">
        <v>45293</v>
      </c>
      <c r="J5">
        <v>1</v>
      </c>
      <c r="K5">
        <v>2024</v>
      </c>
      <c r="L5">
        <v>1</v>
      </c>
      <c r="M5">
        <v>1</v>
      </c>
      <c r="N5">
        <v>25000</v>
      </c>
    </row>
    <row r="6" spans="1:14" x14ac:dyDescent="0.35">
      <c r="A6">
        <v>6</v>
      </c>
      <c r="B6" t="s">
        <v>14</v>
      </c>
      <c r="C6" t="s">
        <v>15</v>
      </c>
      <c r="D6" t="s">
        <v>16</v>
      </c>
      <c r="E6" t="s">
        <v>27</v>
      </c>
      <c r="F6" t="s">
        <v>18</v>
      </c>
      <c r="G6" t="s">
        <v>19</v>
      </c>
      <c r="H6" t="s">
        <v>20</v>
      </c>
      <c r="I6" s="1">
        <v>45301</v>
      </c>
      <c r="J6">
        <v>1</v>
      </c>
      <c r="K6">
        <v>2024</v>
      </c>
      <c r="L6">
        <v>1</v>
      </c>
      <c r="M6">
        <v>2</v>
      </c>
      <c r="N6">
        <v>36000</v>
      </c>
    </row>
    <row r="7" spans="1:14" x14ac:dyDescent="0.35">
      <c r="A7">
        <v>63</v>
      </c>
      <c r="B7" t="s">
        <v>14</v>
      </c>
      <c r="C7" t="s">
        <v>15</v>
      </c>
      <c r="D7" t="s">
        <v>16</v>
      </c>
      <c r="E7" t="s">
        <v>28</v>
      </c>
      <c r="F7" t="s">
        <v>24</v>
      </c>
      <c r="G7" t="s">
        <v>19</v>
      </c>
      <c r="H7" t="s">
        <v>20</v>
      </c>
      <c r="I7" s="1">
        <v>45301</v>
      </c>
      <c r="J7">
        <v>1</v>
      </c>
      <c r="K7">
        <v>2024</v>
      </c>
      <c r="L7">
        <v>1</v>
      </c>
      <c r="M7">
        <v>2</v>
      </c>
      <c r="N7">
        <v>24000</v>
      </c>
    </row>
    <row r="8" spans="1:14" x14ac:dyDescent="0.35">
      <c r="A8">
        <v>24</v>
      </c>
      <c r="B8" t="s">
        <v>14</v>
      </c>
      <c r="C8" t="s">
        <v>15</v>
      </c>
      <c r="D8" t="s">
        <v>16</v>
      </c>
      <c r="E8" t="s">
        <v>29</v>
      </c>
      <c r="F8" t="s">
        <v>18</v>
      </c>
      <c r="G8" t="s">
        <v>30</v>
      </c>
      <c r="H8" t="s">
        <v>20</v>
      </c>
      <c r="I8" s="1">
        <v>45306</v>
      </c>
      <c r="J8">
        <v>1</v>
      </c>
      <c r="K8">
        <v>2024</v>
      </c>
      <c r="L8">
        <v>1</v>
      </c>
      <c r="M8">
        <v>2</v>
      </c>
      <c r="N8">
        <v>28000</v>
      </c>
    </row>
    <row r="9" spans="1:14" x14ac:dyDescent="0.35">
      <c r="A9">
        <v>84</v>
      </c>
      <c r="B9" t="s">
        <v>14</v>
      </c>
      <c r="C9" t="s">
        <v>15</v>
      </c>
      <c r="D9" t="s">
        <v>16</v>
      </c>
      <c r="E9" t="s">
        <v>31</v>
      </c>
      <c r="F9" t="s">
        <v>24</v>
      </c>
      <c r="G9" t="s">
        <v>30</v>
      </c>
      <c r="H9" t="s">
        <v>20</v>
      </c>
      <c r="I9" s="1">
        <v>45306</v>
      </c>
      <c r="J9">
        <v>1</v>
      </c>
      <c r="K9">
        <v>2024</v>
      </c>
      <c r="L9">
        <v>1</v>
      </c>
      <c r="M9">
        <v>2</v>
      </c>
      <c r="N9">
        <v>26000</v>
      </c>
    </row>
    <row r="10" spans="1:14" x14ac:dyDescent="0.35">
      <c r="A10">
        <v>45</v>
      </c>
      <c r="B10" t="s">
        <v>14</v>
      </c>
      <c r="C10" t="s">
        <v>15</v>
      </c>
      <c r="D10" t="s">
        <v>16</v>
      </c>
      <c r="E10" t="s">
        <v>32</v>
      </c>
      <c r="F10" t="s">
        <v>18</v>
      </c>
      <c r="G10" t="s">
        <v>19</v>
      </c>
      <c r="H10" t="s">
        <v>20</v>
      </c>
      <c r="I10" s="1">
        <v>45323</v>
      </c>
      <c r="J10">
        <v>2</v>
      </c>
      <c r="K10">
        <v>2024</v>
      </c>
      <c r="L10">
        <v>1</v>
      </c>
      <c r="M10">
        <v>2</v>
      </c>
      <c r="N10">
        <v>30000</v>
      </c>
    </row>
    <row r="11" spans="1:14" x14ac:dyDescent="0.35">
      <c r="A11">
        <v>66</v>
      </c>
      <c r="B11" t="s">
        <v>14</v>
      </c>
      <c r="C11" t="s">
        <v>15</v>
      </c>
      <c r="D11" t="s">
        <v>16</v>
      </c>
      <c r="E11" t="s">
        <v>33</v>
      </c>
      <c r="F11" t="s">
        <v>24</v>
      </c>
      <c r="G11" t="s">
        <v>19</v>
      </c>
      <c r="H11" t="s">
        <v>20</v>
      </c>
      <c r="I11" s="1">
        <v>45332</v>
      </c>
      <c r="J11">
        <v>2</v>
      </c>
      <c r="K11">
        <v>2024</v>
      </c>
      <c r="L11">
        <v>1</v>
      </c>
      <c r="M11">
        <v>1</v>
      </c>
      <c r="N11">
        <v>15000</v>
      </c>
    </row>
    <row r="12" spans="1:14" x14ac:dyDescent="0.35">
      <c r="A12">
        <v>9</v>
      </c>
      <c r="B12" t="s">
        <v>14</v>
      </c>
      <c r="C12" t="s">
        <v>15</v>
      </c>
      <c r="D12" t="s">
        <v>16</v>
      </c>
      <c r="E12" t="s">
        <v>34</v>
      </c>
      <c r="F12" t="s">
        <v>18</v>
      </c>
      <c r="G12" t="s">
        <v>30</v>
      </c>
      <c r="H12" t="s">
        <v>20</v>
      </c>
      <c r="I12" s="1">
        <v>45336</v>
      </c>
      <c r="J12">
        <v>2</v>
      </c>
      <c r="K12">
        <v>2024</v>
      </c>
      <c r="L12">
        <v>1</v>
      </c>
      <c r="M12">
        <v>2</v>
      </c>
      <c r="N12">
        <v>32000</v>
      </c>
    </row>
    <row r="13" spans="1:14" x14ac:dyDescent="0.35">
      <c r="A13">
        <v>27</v>
      </c>
      <c r="B13" t="s">
        <v>14</v>
      </c>
      <c r="C13" t="s">
        <v>15</v>
      </c>
      <c r="D13" t="s">
        <v>16</v>
      </c>
      <c r="E13" t="s">
        <v>35</v>
      </c>
      <c r="F13" t="s">
        <v>18</v>
      </c>
      <c r="G13" t="s">
        <v>19</v>
      </c>
      <c r="H13" t="s">
        <v>26</v>
      </c>
      <c r="I13" s="1">
        <v>45336</v>
      </c>
      <c r="J13">
        <v>2</v>
      </c>
      <c r="K13">
        <v>2024</v>
      </c>
      <c r="L13">
        <v>1</v>
      </c>
      <c r="M13">
        <v>1</v>
      </c>
      <c r="N13">
        <v>21000</v>
      </c>
    </row>
    <row r="14" spans="1:14" x14ac:dyDescent="0.35">
      <c r="A14">
        <v>87</v>
      </c>
      <c r="B14" t="s">
        <v>14</v>
      </c>
      <c r="C14" t="s">
        <v>15</v>
      </c>
      <c r="D14" t="s">
        <v>16</v>
      </c>
      <c r="E14" t="s">
        <v>36</v>
      </c>
      <c r="F14" t="s">
        <v>22</v>
      </c>
      <c r="G14" t="s">
        <v>19</v>
      </c>
      <c r="H14" t="s">
        <v>26</v>
      </c>
      <c r="I14" s="1">
        <v>45336</v>
      </c>
      <c r="J14">
        <v>2</v>
      </c>
      <c r="K14">
        <v>2024</v>
      </c>
      <c r="L14">
        <v>1</v>
      </c>
      <c r="M14">
        <v>2</v>
      </c>
      <c r="N14">
        <v>14000</v>
      </c>
    </row>
    <row r="15" spans="1:14" x14ac:dyDescent="0.35">
      <c r="A15">
        <v>48</v>
      </c>
      <c r="B15" t="s">
        <v>14</v>
      </c>
      <c r="C15" t="s">
        <v>15</v>
      </c>
      <c r="D15" t="s">
        <v>16</v>
      </c>
      <c r="E15" t="s">
        <v>37</v>
      </c>
      <c r="F15" t="s">
        <v>22</v>
      </c>
      <c r="G15" t="s">
        <v>19</v>
      </c>
      <c r="H15" t="s">
        <v>20</v>
      </c>
      <c r="I15" s="1">
        <v>45342</v>
      </c>
      <c r="J15">
        <v>2</v>
      </c>
      <c r="K15">
        <v>2024</v>
      </c>
      <c r="L15">
        <v>1</v>
      </c>
      <c r="M15">
        <v>1</v>
      </c>
      <c r="N15">
        <v>18000</v>
      </c>
    </row>
    <row r="16" spans="1:14" x14ac:dyDescent="0.35">
      <c r="A16">
        <v>4</v>
      </c>
      <c r="B16" t="s">
        <v>14</v>
      </c>
      <c r="C16" t="s">
        <v>15</v>
      </c>
      <c r="D16" t="s">
        <v>16</v>
      </c>
      <c r="E16" t="s">
        <v>38</v>
      </c>
      <c r="F16" t="s">
        <v>18</v>
      </c>
      <c r="G16" t="s">
        <v>30</v>
      </c>
      <c r="H16" t="s">
        <v>20</v>
      </c>
      <c r="I16" s="1">
        <v>45352</v>
      </c>
      <c r="J16">
        <v>3</v>
      </c>
      <c r="K16">
        <v>2024</v>
      </c>
      <c r="L16">
        <v>1</v>
      </c>
      <c r="M16">
        <v>2</v>
      </c>
      <c r="N16">
        <v>30000</v>
      </c>
    </row>
    <row r="17" spans="1:14" x14ac:dyDescent="0.35">
      <c r="A17">
        <v>69</v>
      </c>
      <c r="B17" t="s">
        <v>14</v>
      </c>
      <c r="C17" t="s">
        <v>15</v>
      </c>
      <c r="D17" t="s">
        <v>16</v>
      </c>
      <c r="E17" t="s">
        <v>39</v>
      </c>
      <c r="F17" t="s">
        <v>22</v>
      </c>
      <c r="G17" t="s">
        <v>30</v>
      </c>
      <c r="H17" t="s">
        <v>20</v>
      </c>
      <c r="I17" s="1">
        <v>45352</v>
      </c>
      <c r="J17">
        <v>3</v>
      </c>
      <c r="K17">
        <v>2024</v>
      </c>
      <c r="L17">
        <v>1</v>
      </c>
      <c r="M17">
        <v>2</v>
      </c>
      <c r="N17">
        <v>16000</v>
      </c>
    </row>
    <row r="18" spans="1:14" x14ac:dyDescent="0.35">
      <c r="A18">
        <v>30</v>
      </c>
      <c r="B18" t="s">
        <v>14</v>
      </c>
      <c r="C18" t="s">
        <v>15</v>
      </c>
      <c r="D18" t="s">
        <v>16</v>
      </c>
      <c r="E18" t="s">
        <v>40</v>
      </c>
      <c r="F18" t="s">
        <v>24</v>
      </c>
      <c r="G18" t="s">
        <v>19</v>
      </c>
      <c r="H18" t="s">
        <v>20</v>
      </c>
      <c r="I18" s="1">
        <v>45361</v>
      </c>
      <c r="J18">
        <v>3</v>
      </c>
      <c r="K18">
        <v>2024</v>
      </c>
      <c r="L18">
        <v>1</v>
      </c>
      <c r="M18">
        <v>2</v>
      </c>
      <c r="N18">
        <v>24000</v>
      </c>
    </row>
    <row r="19" spans="1:14" x14ac:dyDescent="0.35">
      <c r="A19">
        <v>90</v>
      </c>
      <c r="B19" t="s">
        <v>14</v>
      </c>
      <c r="C19" t="s">
        <v>15</v>
      </c>
      <c r="D19" t="s">
        <v>16</v>
      </c>
      <c r="E19" t="s">
        <v>41</v>
      </c>
      <c r="F19" t="s">
        <v>22</v>
      </c>
      <c r="G19" t="s">
        <v>19</v>
      </c>
      <c r="H19" t="s">
        <v>20</v>
      </c>
      <c r="I19" s="1">
        <v>45361</v>
      </c>
      <c r="J19">
        <v>3</v>
      </c>
      <c r="K19">
        <v>2024</v>
      </c>
      <c r="L19">
        <v>1</v>
      </c>
      <c r="M19">
        <v>3</v>
      </c>
      <c r="N19">
        <v>45000</v>
      </c>
    </row>
    <row r="20" spans="1:14" x14ac:dyDescent="0.35">
      <c r="A20">
        <v>12</v>
      </c>
      <c r="B20" t="s">
        <v>14</v>
      </c>
      <c r="C20" t="s">
        <v>15</v>
      </c>
      <c r="D20" t="s">
        <v>16</v>
      </c>
      <c r="E20" t="s">
        <v>42</v>
      </c>
      <c r="F20" t="s">
        <v>24</v>
      </c>
      <c r="G20" t="s">
        <v>19</v>
      </c>
      <c r="H20" t="s">
        <v>26</v>
      </c>
      <c r="I20" s="1">
        <v>45366</v>
      </c>
      <c r="J20">
        <v>3</v>
      </c>
      <c r="K20">
        <v>2024</v>
      </c>
      <c r="L20">
        <v>1</v>
      </c>
      <c r="M20">
        <v>3</v>
      </c>
      <c r="N20">
        <v>30000</v>
      </c>
    </row>
    <row r="21" spans="1:14" x14ac:dyDescent="0.35">
      <c r="A21">
        <v>51</v>
      </c>
      <c r="B21" t="s">
        <v>14</v>
      </c>
      <c r="C21" t="s">
        <v>15</v>
      </c>
      <c r="D21" t="s">
        <v>16</v>
      </c>
      <c r="E21" t="s">
        <v>38</v>
      </c>
      <c r="F21" t="s">
        <v>18</v>
      </c>
      <c r="G21" t="s">
        <v>19</v>
      </c>
      <c r="H21" t="s">
        <v>20</v>
      </c>
      <c r="I21" s="1">
        <v>45366</v>
      </c>
      <c r="J21">
        <v>3</v>
      </c>
      <c r="K21">
        <v>2024</v>
      </c>
      <c r="L21">
        <v>1</v>
      </c>
      <c r="M21">
        <v>2</v>
      </c>
      <c r="N21">
        <v>30000</v>
      </c>
    </row>
    <row r="22" spans="1:14" x14ac:dyDescent="0.35">
      <c r="A22">
        <v>72</v>
      </c>
      <c r="B22" t="s">
        <v>14</v>
      </c>
      <c r="C22" t="s">
        <v>15</v>
      </c>
      <c r="D22" t="s">
        <v>16</v>
      </c>
      <c r="E22" t="s">
        <v>43</v>
      </c>
      <c r="F22" t="s">
        <v>22</v>
      </c>
      <c r="G22" t="s">
        <v>19</v>
      </c>
      <c r="H22" t="s">
        <v>26</v>
      </c>
      <c r="I22" s="1">
        <v>45376</v>
      </c>
      <c r="J22">
        <v>3</v>
      </c>
      <c r="K22">
        <v>2024</v>
      </c>
      <c r="L22">
        <v>1</v>
      </c>
      <c r="M22">
        <v>1</v>
      </c>
      <c r="N22">
        <v>9000</v>
      </c>
    </row>
    <row r="23" spans="1:14" x14ac:dyDescent="0.35">
      <c r="A23">
        <v>33</v>
      </c>
      <c r="B23" t="s">
        <v>14</v>
      </c>
      <c r="C23" t="s">
        <v>15</v>
      </c>
      <c r="D23" t="s">
        <v>16</v>
      </c>
      <c r="E23" t="s">
        <v>44</v>
      </c>
      <c r="F23" t="s">
        <v>24</v>
      </c>
      <c r="G23" t="s">
        <v>19</v>
      </c>
      <c r="H23" t="s">
        <v>20</v>
      </c>
      <c r="I23" s="1">
        <v>45383</v>
      </c>
      <c r="J23">
        <v>4</v>
      </c>
      <c r="K23">
        <v>2024</v>
      </c>
      <c r="L23">
        <v>2</v>
      </c>
      <c r="M23">
        <v>1</v>
      </c>
      <c r="N23">
        <v>14000</v>
      </c>
    </row>
    <row r="24" spans="1:14" x14ac:dyDescent="0.35">
      <c r="A24">
        <v>93</v>
      </c>
      <c r="B24" t="s">
        <v>14</v>
      </c>
      <c r="C24" t="s">
        <v>15</v>
      </c>
      <c r="D24" t="s">
        <v>16</v>
      </c>
      <c r="E24" t="s">
        <v>45</v>
      </c>
      <c r="F24" t="s">
        <v>18</v>
      </c>
      <c r="G24" t="s">
        <v>19</v>
      </c>
      <c r="H24" t="s">
        <v>20</v>
      </c>
      <c r="I24" s="1">
        <v>45383</v>
      </c>
      <c r="J24">
        <v>4</v>
      </c>
      <c r="K24">
        <v>2024</v>
      </c>
      <c r="L24">
        <v>2</v>
      </c>
      <c r="M24">
        <v>2</v>
      </c>
      <c r="N24">
        <v>40000</v>
      </c>
    </row>
    <row r="25" spans="1:14" x14ac:dyDescent="0.35">
      <c r="A25">
        <v>54</v>
      </c>
      <c r="B25" t="s">
        <v>14</v>
      </c>
      <c r="C25" t="s">
        <v>15</v>
      </c>
      <c r="D25" t="s">
        <v>16</v>
      </c>
      <c r="E25" t="s">
        <v>46</v>
      </c>
      <c r="F25" t="s">
        <v>22</v>
      </c>
      <c r="G25" t="s">
        <v>30</v>
      </c>
      <c r="H25" t="s">
        <v>20</v>
      </c>
      <c r="I25" s="1">
        <v>45392</v>
      </c>
      <c r="J25">
        <v>4</v>
      </c>
      <c r="K25">
        <v>2024</v>
      </c>
      <c r="L25">
        <v>2</v>
      </c>
      <c r="M25">
        <v>2</v>
      </c>
      <c r="N25">
        <v>16000</v>
      </c>
    </row>
    <row r="26" spans="1:14" x14ac:dyDescent="0.35">
      <c r="A26">
        <v>15</v>
      </c>
      <c r="B26" t="s">
        <v>14</v>
      </c>
      <c r="C26" t="s">
        <v>15</v>
      </c>
      <c r="D26" t="s">
        <v>16</v>
      </c>
      <c r="E26" t="s">
        <v>47</v>
      </c>
      <c r="F26" t="s">
        <v>24</v>
      </c>
      <c r="G26" t="s">
        <v>19</v>
      </c>
      <c r="H26" t="s">
        <v>20</v>
      </c>
      <c r="I26" s="1">
        <v>45397</v>
      </c>
      <c r="J26">
        <v>4</v>
      </c>
      <c r="K26">
        <v>2024</v>
      </c>
      <c r="L26">
        <v>2</v>
      </c>
      <c r="M26">
        <v>2</v>
      </c>
      <c r="N26">
        <v>10000</v>
      </c>
    </row>
    <row r="27" spans="1:14" x14ac:dyDescent="0.35">
      <c r="A27">
        <v>75</v>
      </c>
      <c r="B27" t="s">
        <v>14</v>
      </c>
      <c r="C27" t="s">
        <v>15</v>
      </c>
      <c r="D27" t="s">
        <v>16</v>
      </c>
      <c r="E27" t="s">
        <v>48</v>
      </c>
      <c r="F27" t="s">
        <v>18</v>
      </c>
      <c r="G27" t="s">
        <v>19</v>
      </c>
      <c r="H27" t="s">
        <v>20</v>
      </c>
      <c r="I27" s="1">
        <v>45397</v>
      </c>
      <c r="J27">
        <v>4</v>
      </c>
      <c r="K27">
        <v>2024</v>
      </c>
      <c r="L27">
        <v>2</v>
      </c>
      <c r="M27">
        <v>1</v>
      </c>
      <c r="N27">
        <v>20000</v>
      </c>
    </row>
    <row r="28" spans="1:14" x14ac:dyDescent="0.35">
      <c r="A28">
        <v>36</v>
      </c>
      <c r="B28" t="s">
        <v>14</v>
      </c>
      <c r="C28" t="s">
        <v>15</v>
      </c>
      <c r="D28" t="s">
        <v>16</v>
      </c>
      <c r="E28" t="s">
        <v>49</v>
      </c>
      <c r="F28" t="s">
        <v>22</v>
      </c>
      <c r="G28" t="s">
        <v>19</v>
      </c>
      <c r="H28" t="s">
        <v>20</v>
      </c>
      <c r="I28" s="1">
        <v>45407</v>
      </c>
      <c r="J28">
        <v>4</v>
      </c>
      <c r="K28">
        <v>2024</v>
      </c>
      <c r="L28">
        <v>2</v>
      </c>
      <c r="M28">
        <v>4</v>
      </c>
      <c r="N28">
        <v>20000</v>
      </c>
    </row>
    <row r="29" spans="1:14" x14ac:dyDescent="0.35">
      <c r="A29">
        <v>96</v>
      </c>
      <c r="B29" t="s">
        <v>14</v>
      </c>
      <c r="C29" t="s">
        <v>15</v>
      </c>
      <c r="D29" t="s">
        <v>16</v>
      </c>
      <c r="E29" t="s">
        <v>50</v>
      </c>
      <c r="F29" t="s">
        <v>22</v>
      </c>
      <c r="G29" t="s">
        <v>19</v>
      </c>
      <c r="H29" t="s">
        <v>20</v>
      </c>
      <c r="I29" s="1">
        <v>45407</v>
      </c>
      <c r="J29">
        <v>4</v>
      </c>
      <c r="K29">
        <v>2024</v>
      </c>
      <c r="L29">
        <v>2</v>
      </c>
      <c r="M29">
        <v>3</v>
      </c>
      <c r="N29">
        <v>30000</v>
      </c>
    </row>
    <row r="30" spans="1:14" x14ac:dyDescent="0.35">
      <c r="A30">
        <v>57</v>
      </c>
      <c r="B30" t="s">
        <v>14</v>
      </c>
      <c r="C30" t="s">
        <v>15</v>
      </c>
      <c r="D30" t="s">
        <v>16</v>
      </c>
      <c r="E30" t="s">
        <v>51</v>
      </c>
      <c r="F30" t="s">
        <v>18</v>
      </c>
      <c r="G30" t="s">
        <v>19</v>
      </c>
      <c r="H30" t="s">
        <v>26</v>
      </c>
      <c r="I30" s="1">
        <v>45413</v>
      </c>
      <c r="J30">
        <v>5</v>
      </c>
      <c r="K30">
        <v>2024</v>
      </c>
      <c r="L30">
        <v>2</v>
      </c>
      <c r="M30">
        <v>1</v>
      </c>
      <c r="N30">
        <v>25000</v>
      </c>
    </row>
    <row r="31" spans="1:14" x14ac:dyDescent="0.35">
      <c r="A31">
        <v>18</v>
      </c>
      <c r="B31" t="s">
        <v>14</v>
      </c>
      <c r="C31" t="s">
        <v>15</v>
      </c>
      <c r="D31" t="s">
        <v>16</v>
      </c>
      <c r="E31" t="s">
        <v>52</v>
      </c>
      <c r="F31" t="s">
        <v>22</v>
      </c>
      <c r="G31" t="s">
        <v>19</v>
      </c>
      <c r="H31" t="s">
        <v>20</v>
      </c>
      <c r="I31" s="1">
        <v>45422</v>
      </c>
      <c r="J31">
        <v>5</v>
      </c>
      <c r="K31">
        <v>2024</v>
      </c>
      <c r="L31">
        <v>2</v>
      </c>
      <c r="M31">
        <v>3</v>
      </c>
      <c r="N31">
        <v>21000</v>
      </c>
    </row>
    <row r="32" spans="1:14" x14ac:dyDescent="0.35">
      <c r="A32">
        <v>78</v>
      </c>
      <c r="B32" t="s">
        <v>14</v>
      </c>
      <c r="C32" t="s">
        <v>15</v>
      </c>
      <c r="D32" t="s">
        <v>16</v>
      </c>
      <c r="E32" t="s">
        <v>53</v>
      </c>
      <c r="F32" t="s">
        <v>18</v>
      </c>
      <c r="G32" t="s">
        <v>19</v>
      </c>
      <c r="H32" t="s">
        <v>20</v>
      </c>
      <c r="I32" s="1">
        <v>45422</v>
      </c>
      <c r="J32">
        <v>5</v>
      </c>
      <c r="K32">
        <v>2024</v>
      </c>
      <c r="L32">
        <v>2</v>
      </c>
      <c r="M32">
        <v>2</v>
      </c>
      <c r="N32">
        <v>30000</v>
      </c>
    </row>
    <row r="33" spans="1:14" x14ac:dyDescent="0.35">
      <c r="A33">
        <v>39</v>
      </c>
      <c r="B33" t="s">
        <v>14</v>
      </c>
      <c r="C33" t="s">
        <v>15</v>
      </c>
      <c r="D33" t="s">
        <v>16</v>
      </c>
      <c r="E33" t="s">
        <v>54</v>
      </c>
      <c r="F33" t="s">
        <v>22</v>
      </c>
      <c r="G33" t="s">
        <v>30</v>
      </c>
      <c r="H33" t="s">
        <v>20</v>
      </c>
      <c r="I33" s="1">
        <v>45427</v>
      </c>
      <c r="J33">
        <v>5</v>
      </c>
      <c r="K33">
        <v>2024</v>
      </c>
      <c r="L33">
        <v>2</v>
      </c>
      <c r="M33">
        <v>2</v>
      </c>
      <c r="N33">
        <v>24000</v>
      </c>
    </row>
    <row r="34" spans="1:14" x14ac:dyDescent="0.35">
      <c r="A34">
        <v>99</v>
      </c>
      <c r="B34" t="s">
        <v>14</v>
      </c>
      <c r="C34" t="s">
        <v>15</v>
      </c>
      <c r="D34" t="s">
        <v>16</v>
      </c>
      <c r="E34" t="s">
        <v>55</v>
      </c>
      <c r="F34" t="s">
        <v>22</v>
      </c>
      <c r="G34" t="s">
        <v>30</v>
      </c>
      <c r="H34" t="s">
        <v>20</v>
      </c>
      <c r="I34" s="1">
        <v>45427</v>
      </c>
      <c r="J34">
        <v>5</v>
      </c>
      <c r="K34">
        <v>2024</v>
      </c>
      <c r="L34">
        <v>2</v>
      </c>
      <c r="M34">
        <v>2</v>
      </c>
      <c r="N34">
        <v>30000</v>
      </c>
    </row>
    <row r="35" spans="1:14" x14ac:dyDescent="0.35">
      <c r="A35">
        <v>60</v>
      </c>
      <c r="B35" t="s">
        <v>14</v>
      </c>
      <c r="C35" t="s">
        <v>15</v>
      </c>
      <c r="D35" t="s">
        <v>16</v>
      </c>
      <c r="E35" t="s">
        <v>56</v>
      </c>
      <c r="F35" t="s">
        <v>18</v>
      </c>
      <c r="G35" t="s">
        <v>19</v>
      </c>
      <c r="H35" t="s">
        <v>20</v>
      </c>
      <c r="I35" s="1">
        <v>45437</v>
      </c>
      <c r="J35">
        <v>5</v>
      </c>
      <c r="K35">
        <v>2024</v>
      </c>
      <c r="L35">
        <v>2</v>
      </c>
      <c r="M35">
        <v>1</v>
      </c>
      <c r="N35">
        <v>30000</v>
      </c>
    </row>
    <row r="36" spans="1:14" x14ac:dyDescent="0.35">
      <c r="A36">
        <v>61</v>
      </c>
      <c r="B36" t="s">
        <v>57</v>
      </c>
      <c r="C36" t="s">
        <v>58</v>
      </c>
      <c r="D36" t="s">
        <v>59</v>
      </c>
      <c r="E36" t="s">
        <v>60</v>
      </c>
      <c r="F36" t="s">
        <v>18</v>
      </c>
      <c r="G36" t="s">
        <v>19</v>
      </c>
      <c r="H36" t="s">
        <v>20</v>
      </c>
      <c r="I36" s="1">
        <v>45292</v>
      </c>
      <c r="J36">
        <v>1</v>
      </c>
      <c r="K36">
        <v>2024</v>
      </c>
      <c r="L36">
        <v>1</v>
      </c>
      <c r="M36">
        <v>2</v>
      </c>
      <c r="N36">
        <v>24000</v>
      </c>
    </row>
    <row r="37" spans="1:14" x14ac:dyDescent="0.35">
      <c r="A37">
        <v>2</v>
      </c>
      <c r="B37" t="s">
        <v>57</v>
      </c>
      <c r="C37" t="s">
        <v>58</v>
      </c>
      <c r="D37" t="s">
        <v>59</v>
      </c>
      <c r="E37" t="s">
        <v>61</v>
      </c>
      <c r="F37" t="s">
        <v>24</v>
      </c>
      <c r="G37" t="s">
        <v>30</v>
      </c>
      <c r="H37" t="s">
        <v>62</v>
      </c>
      <c r="I37" s="1">
        <v>45293</v>
      </c>
      <c r="J37">
        <v>1</v>
      </c>
      <c r="K37">
        <v>2024</v>
      </c>
      <c r="L37">
        <v>1</v>
      </c>
      <c r="M37">
        <v>3</v>
      </c>
      <c r="N37">
        <v>15000</v>
      </c>
    </row>
    <row r="38" spans="1:14" x14ac:dyDescent="0.35">
      <c r="A38">
        <v>22</v>
      </c>
      <c r="B38" t="s">
        <v>57</v>
      </c>
      <c r="C38" t="s">
        <v>58</v>
      </c>
      <c r="D38" t="s">
        <v>59</v>
      </c>
      <c r="E38" t="s">
        <v>43</v>
      </c>
      <c r="F38" t="s">
        <v>22</v>
      </c>
      <c r="G38" t="s">
        <v>30</v>
      </c>
      <c r="H38" t="s">
        <v>62</v>
      </c>
      <c r="I38" s="1">
        <v>45293</v>
      </c>
      <c r="J38">
        <v>1</v>
      </c>
      <c r="K38">
        <v>2024</v>
      </c>
      <c r="L38">
        <v>1</v>
      </c>
      <c r="M38">
        <v>1</v>
      </c>
      <c r="N38">
        <v>9000</v>
      </c>
    </row>
    <row r="39" spans="1:14" x14ac:dyDescent="0.35">
      <c r="A39">
        <v>82</v>
      </c>
      <c r="B39" t="s">
        <v>57</v>
      </c>
      <c r="C39" t="s">
        <v>58</v>
      </c>
      <c r="D39" t="s">
        <v>59</v>
      </c>
      <c r="E39" t="s">
        <v>63</v>
      </c>
      <c r="F39" t="s">
        <v>24</v>
      </c>
      <c r="G39" t="s">
        <v>30</v>
      </c>
      <c r="H39" t="s">
        <v>62</v>
      </c>
      <c r="I39" s="1">
        <v>45293</v>
      </c>
      <c r="J39">
        <v>1</v>
      </c>
      <c r="K39">
        <v>2024</v>
      </c>
      <c r="L39">
        <v>1</v>
      </c>
      <c r="M39">
        <v>2</v>
      </c>
      <c r="N39">
        <v>32000</v>
      </c>
    </row>
    <row r="40" spans="1:14" x14ac:dyDescent="0.35">
      <c r="A40">
        <v>43</v>
      </c>
      <c r="B40" t="s">
        <v>57</v>
      </c>
      <c r="C40" t="s">
        <v>58</v>
      </c>
      <c r="D40" t="s">
        <v>59</v>
      </c>
      <c r="E40" t="s">
        <v>45</v>
      </c>
      <c r="F40" t="s">
        <v>18</v>
      </c>
      <c r="G40" t="s">
        <v>30</v>
      </c>
      <c r="H40" t="s">
        <v>26</v>
      </c>
      <c r="I40" s="1">
        <v>45301</v>
      </c>
      <c r="J40">
        <v>1</v>
      </c>
      <c r="K40">
        <v>2024</v>
      </c>
      <c r="L40">
        <v>1</v>
      </c>
      <c r="M40">
        <v>2</v>
      </c>
      <c r="N40">
        <v>40000</v>
      </c>
    </row>
    <row r="41" spans="1:14" x14ac:dyDescent="0.35">
      <c r="A41">
        <v>7</v>
      </c>
      <c r="B41" t="s">
        <v>57</v>
      </c>
      <c r="C41" t="s">
        <v>58</v>
      </c>
      <c r="D41" t="s">
        <v>59</v>
      </c>
      <c r="E41" t="s">
        <v>51</v>
      </c>
      <c r="F41" t="s">
        <v>18</v>
      </c>
      <c r="G41" t="s">
        <v>30</v>
      </c>
      <c r="H41" t="s">
        <v>62</v>
      </c>
      <c r="I41" s="1">
        <v>45306</v>
      </c>
      <c r="J41">
        <v>1</v>
      </c>
      <c r="K41">
        <v>2024</v>
      </c>
      <c r="L41">
        <v>1</v>
      </c>
      <c r="M41">
        <v>1</v>
      </c>
      <c r="N41">
        <v>25000</v>
      </c>
    </row>
    <row r="42" spans="1:14" x14ac:dyDescent="0.35">
      <c r="A42">
        <v>64</v>
      </c>
      <c r="B42" t="s">
        <v>57</v>
      </c>
      <c r="C42" t="s">
        <v>58</v>
      </c>
      <c r="D42" t="s">
        <v>59</v>
      </c>
      <c r="E42" t="s">
        <v>64</v>
      </c>
      <c r="F42" t="s">
        <v>24</v>
      </c>
      <c r="G42" t="s">
        <v>30</v>
      </c>
      <c r="H42" t="s">
        <v>20</v>
      </c>
      <c r="I42" s="1">
        <v>45306</v>
      </c>
      <c r="J42">
        <v>1</v>
      </c>
      <c r="K42">
        <v>2024</v>
      </c>
      <c r="L42">
        <v>1</v>
      </c>
      <c r="M42">
        <v>4</v>
      </c>
      <c r="N42">
        <v>16000</v>
      </c>
    </row>
    <row r="43" spans="1:14" x14ac:dyDescent="0.35">
      <c r="A43">
        <v>25</v>
      </c>
      <c r="B43" t="s">
        <v>57</v>
      </c>
      <c r="C43" t="s">
        <v>58</v>
      </c>
      <c r="D43" t="s">
        <v>59</v>
      </c>
      <c r="E43" t="s">
        <v>48</v>
      </c>
      <c r="F43" t="s">
        <v>18</v>
      </c>
      <c r="G43" t="s">
        <v>30</v>
      </c>
      <c r="H43" t="s">
        <v>62</v>
      </c>
      <c r="I43" s="1">
        <v>45323</v>
      </c>
      <c r="J43">
        <v>2</v>
      </c>
      <c r="K43">
        <v>2024</v>
      </c>
      <c r="L43">
        <v>1</v>
      </c>
      <c r="M43">
        <v>1</v>
      </c>
      <c r="N43">
        <v>20000</v>
      </c>
    </row>
    <row r="44" spans="1:14" x14ac:dyDescent="0.35">
      <c r="A44">
        <v>85</v>
      </c>
      <c r="B44" t="s">
        <v>57</v>
      </c>
      <c r="C44" t="s">
        <v>58</v>
      </c>
      <c r="D44" t="s">
        <v>59</v>
      </c>
      <c r="E44" t="s">
        <v>65</v>
      </c>
      <c r="F44" t="s">
        <v>24</v>
      </c>
      <c r="G44" t="s">
        <v>30</v>
      </c>
      <c r="H44" t="s">
        <v>62</v>
      </c>
      <c r="I44" s="1">
        <v>45323</v>
      </c>
      <c r="J44">
        <v>2</v>
      </c>
      <c r="K44">
        <v>2024</v>
      </c>
      <c r="L44">
        <v>1</v>
      </c>
      <c r="M44">
        <v>3</v>
      </c>
      <c r="N44">
        <v>24000</v>
      </c>
    </row>
    <row r="45" spans="1:14" x14ac:dyDescent="0.35">
      <c r="A45">
        <v>46</v>
      </c>
      <c r="B45" t="s">
        <v>57</v>
      </c>
      <c r="C45" t="s">
        <v>58</v>
      </c>
      <c r="D45" t="s">
        <v>59</v>
      </c>
      <c r="E45" t="s">
        <v>50</v>
      </c>
      <c r="F45" t="s">
        <v>22</v>
      </c>
      <c r="G45" t="s">
        <v>19</v>
      </c>
      <c r="H45" t="s">
        <v>20</v>
      </c>
      <c r="I45" s="1">
        <v>45332</v>
      </c>
      <c r="J45">
        <v>2</v>
      </c>
      <c r="K45">
        <v>2024</v>
      </c>
      <c r="L45">
        <v>1</v>
      </c>
      <c r="M45">
        <v>3</v>
      </c>
      <c r="N45">
        <v>30000</v>
      </c>
    </row>
    <row r="46" spans="1:14" x14ac:dyDescent="0.35">
      <c r="A46">
        <v>67</v>
      </c>
      <c r="B46" t="s">
        <v>57</v>
      </c>
      <c r="C46" t="s">
        <v>58</v>
      </c>
      <c r="D46" t="s">
        <v>59</v>
      </c>
      <c r="E46" t="s">
        <v>66</v>
      </c>
      <c r="F46" t="s">
        <v>24</v>
      </c>
      <c r="G46" t="s">
        <v>30</v>
      </c>
      <c r="H46" t="s">
        <v>62</v>
      </c>
      <c r="I46" s="1">
        <v>45336</v>
      </c>
      <c r="J46">
        <v>2</v>
      </c>
      <c r="K46">
        <v>2024</v>
      </c>
      <c r="L46">
        <v>1</v>
      </c>
      <c r="M46">
        <v>2</v>
      </c>
      <c r="N46">
        <v>36000</v>
      </c>
    </row>
    <row r="47" spans="1:14" x14ac:dyDescent="0.35">
      <c r="A47">
        <v>10</v>
      </c>
      <c r="B47" t="s">
        <v>57</v>
      </c>
      <c r="C47" t="s">
        <v>58</v>
      </c>
      <c r="D47" t="s">
        <v>59</v>
      </c>
      <c r="E47" t="s">
        <v>56</v>
      </c>
      <c r="F47" t="s">
        <v>18</v>
      </c>
      <c r="G47" t="s">
        <v>30</v>
      </c>
      <c r="H47" t="s">
        <v>62</v>
      </c>
      <c r="I47" s="1">
        <v>45342</v>
      </c>
      <c r="J47">
        <v>2</v>
      </c>
      <c r="K47">
        <v>2024</v>
      </c>
      <c r="L47">
        <v>1</v>
      </c>
      <c r="M47">
        <v>1</v>
      </c>
      <c r="N47">
        <v>30000</v>
      </c>
    </row>
    <row r="48" spans="1:14" x14ac:dyDescent="0.35">
      <c r="A48">
        <v>28</v>
      </c>
      <c r="B48" t="s">
        <v>57</v>
      </c>
      <c r="C48" t="s">
        <v>58</v>
      </c>
      <c r="D48" t="s">
        <v>59</v>
      </c>
      <c r="E48" t="s">
        <v>53</v>
      </c>
      <c r="F48" t="s">
        <v>18</v>
      </c>
      <c r="G48" t="s">
        <v>30</v>
      </c>
      <c r="H48" t="s">
        <v>26</v>
      </c>
      <c r="I48" s="1">
        <v>45342</v>
      </c>
      <c r="J48">
        <v>2</v>
      </c>
      <c r="K48">
        <v>2024</v>
      </c>
      <c r="L48">
        <v>1</v>
      </c>
      <c r="M48">
        <v>2</v>
      </c>
      <c r="N48">
        <v>30000</v>
      </c>
    </row>
    <row r="49" spans="1:14" x14ac:dyDescent="0.35">
      <c r="A49">
        <v>88</v>
      </c>
      <c r="B49" t="s">
        <v>57</v>
      </c>
      <c r="C49" t="s">
        <v>58</v>
      </c>
      <c r="D49" t="s">
        <v>59</v>
      </c>
      <c r="E49" t="s">
        <v>67</v>
      </c>
      <c r="F49" t="s">
        <v>22</v>
      </c>
      <c r="G49" t="s">
        <v>30</v>
      </c>
      <c r="H49" t="s">
        <v>26</v>
      </c>
      <c r="I49" s="1">
        <v>45342</v>
      </c>
      <c r="J49">
        <v>2</v>
      </c>
      <c r="K49">
        <v>2024</v>
      </c>
      <c r="L49">
        <v>1</v>
      </c>
      <c r="M49">
        <v>1</v>
      </c>
      <c r="N49">
        <v>10000</v>
      </c>
    </row>
    <row r="50" spans="1:14" x14ac:dyDescent="0.35">
      <c r="A50">
        <v>49</v>
      </c>
      <c r="B50" t="s">
        <v>57</v>
      </c>
      <c r="C50" t="s">
        <v>58</v>
      </c>
      <c r="D50" t="s">
        <v>59</v>
      </c>
      <c r="E50" t="s">
        <v>55</v>
      </c>
      <c r="F50" t="s">
        <v>22</v>
      </c>
      <c r="G50" t="s">
        <v>30</v>
      </c>
      <c r="H50" t="s">
        <v>20</v>
      </c>
      <c r="I50" s="1">
        <v>45352</v>
      </c>
      <c r="J50">
        <v>3</v>
      </c>
      <c r="K50">
        <v>2024</v>
      </c>
      <c r="L50">
        <v>1</v>
      </c>
      <c r="M50">
        <v>2</v>
      </c>
      <c r="N50">
        <v>30000</v>
      </c>
    </row>
    <row r="51" spans="1:14" x14ac:dyDescent="0.35">
      <c r="A51">
        <v>70</v>
      </c>
      <c r="B51" t="s">
        <v>57</v>
      </c>
      <c r="C51" t="s">
        <v>58</v>
      </c>
      <c r="D51" t="s">
        <v>59</v>
      </c>
      <c r="E51" t="s">
        <v>68</v>
      </c>
      <c r="F51" t="s">
        <v>22</v>
      </c>
      <c r="G51" t="s">
        <v>30</v>
      </c>
      <c r="H51" t="s">
        <v>62</v>
      </c>
      <c r="I51" s="1">
        <v>45361</v>
      </c>
      <c r="J51">
        <v>3</v>
      </c>
      <c r="K51">
        <v>2024</v>
      </c>
      <c r="L51">
        <v>1</v>
      </c>
      <c r="M51">
        <v>5</v>
      </c>
      <c r="N51">
        <v>25000</v>
      </c>
    </row>
    <row r="52" spans="1:14" x14ac:dyDescent="0.35">
      <c r="A52">
        <v>31</v>
      </c>
      <c r="B52" t="s">
        <v>57</v>
      </c>
      <c r="C52" t="s">
        <v>58</v>
      </c>
      <c r="D52" t="s">
        <v>59</v>
      </c>
      <c r="E52" t="s">
        <v>23</v>
      </c>
      <c r="F52" t="s">
        <v>24</v>
      </c>
      <c r="G52" t="s">
        <v>19</v>
      </c>
      <c r="H52" t="s">
        <v>20</v>
      </c>
      <c r="I52" s="1">
        <v>45366</v>
      </c>
      <c r="J52">
        <v>3</v>
      </c>
      <c r="K52">
        <v>2024</v>
      </c>
      <c r="L52">
        <v>1</v>
      </c>
      <c r="M52">
        <v>1</v>
      </c>
      <c r="N52">
        <v>15000</v>
      </c>
    </row>
    <row r="53" spans="1:14" x14ac:dyDescent="0.35">
      <c r="A53">
        <v>91</v>
      </c>
      <c r="B53" t="s">
        <v>57</v>
      </c>
      <c r="C53" t="s">
        <v>58</v>
      </c>
      <c r="D53" t="s">
        <v>59</v>
      </c>
      <c r="E53" t="s">
        <v>69</v>
      </c>
      <c r="F53" t="s">
        <v>22</v>
      </c>
      <c r="G53" t="s">
        <v>19</v>
      </c>
      <c r="H53" t="s">
        <v>20</v>
      </c>
      <c r="I53" s="1">
        <v>45366</v>
      </c>
      <c r="J53">
        <v>3</v>
      </c>
      <c r="K53">
        <v>2024</v>
      </c>
      <c r="L53">
        <v>1</v>
      </c>
      <c r="M53">
        <v>2</v>
      </c>
      <c r="N53">
        <v>16000</v>
      </c>
    </row>
    <row r="54" spans="1:14" x14ac:dyDescent="0.35">
      <c r="A54">
        <v>13</v>
      </c>
      <c r="B54" t="s">
        <v>57</v>
      </c>
      <c r="C54" t="s">
        <v>58</v>
      </c>
      <c r="D54" t="s">
        <v>59</v>
      </c>
      <c r="E54" t="s">
        <v>28</v>
      </c>
      <c r="F54" t="s">
        <v>24</v>
      </c>
      <c r="G54" t="s">
        <v>30</v>
      </c>
      <c r="H54" t="s">
        <v>26</v>
      </c>
      <c r="I54" s="1">
        <v>45376</v>
      </c>
      <c r="J54">
        <v>3</v>
      </c>
      <c r="K54">
        <v>2024</v>
      </c>
      <c r="L54">
        <v>1</v>
      </c>
      <c r="M54">
        <v>2</v>
      </c>
      <c r="N54">
        <v>24000</v>
      </c>
    </row>
    <row r="55" spans="1:14" x14ac:dyDescent="0.35">
      <c r="A55">
        <v>52</v>
      </c>
      <c r="B55" t="s">
        <v>57</v>
      </c>
      <c r="C55" t="s">
        <v>58</v>
      </c>
      <c r="D55" t="s">
        <v>59</v>
      </c>
      <c r="E55" t="s">
        <v>61</v>
      </c>
      <c r="F55" t="s">
        <v>24</v>
      </c>
      <c r="G55" t="s">
        <v>30</v>
      </c>
      <c r="H55" t="s">
        <v>62</v>
      </c>
      <c r="I55" s="1">
        <v>45376</v>
      </c>
      <c r="J55">
        <v>3</v>
      </c>
      <c r="K55">
        <v>2024</v>
      </c>
      <c r="L55">
        <v>1</v>
      </c>
      <c r="M55">
        <v>4</v>
      </c>
      <c r="N55">
        <v>20000</v>
      </c>
    </row>
    <row r="56" spans="1:14" x14ac:dyDescent="0.35">
      <c r="A56">
        <v>5</v>
      </c>
      <c r="B56" t="s">
        <v>57</v>
      </c>
      <c r="C56" t="s">
        <v>58</v>
      </c>
      <c r="D56" t="s">
        <v>59</v>
      </c>
      <c r="E56" t="s">
        <v>70</v>
      </c>
      <c r="F56" t="s">
        <v>24</v>
      </c>
      <c r="G56" t="s">
        <v>30</v>
      </c>
      <c r="H56" t="s">
        <v>26</v>
      </c>
      <c r="I56" s="1">
        <v>45383</v>
      </c>
      <c r="J56">
        <v>4</v>
      </c>
      <c r="K56">
        <v>2024</v>
      </c>
      <c r="L56">
        <v>2</v>
      </c>
      <c r="M56">
        <v>1</v>
      </c>
      <c r="N56">
        <v>10000</v>
      </c>
    </row>
    <row r="57" spans="1:14" x14ac:dyDescent="0.35">
      <c r="A57">
        <v>73</v>
      </c>
      <c r="B57" t="s">
        <v>57</v>
      </c>
      <c r="C57" t="s">
        <v>58</v>
      </c>
      <c r="D57" t="s">
        <v>59</v>
      </c>
      <c r="E57" t="s">
        <v>71</v>
      </c>
      <c r="F57" t="s">
        <v>22</v>
      </c>
      <c r="G57" t="s">
        <v>30</v>
      </c>
      <c r="H57" t="s">
        <v>26</v>
      </c>
      <c r="I57" s="1">
        <v>45383</v>
      </c>
      <c r="J57">
        <v>4</v>
      </c>
      <c r="K57">
        <v>2024</v>
      </c>
      <c r="L57">
        <v>2</v>
      </c>
      <c r="M57">
        <v>3</v>
      </c>
      <c r="N57">
        <v>18000</v>
      </c>
    </row>
    <row r="58" spans="1:14" x14ac:dyDescent="0.35">
      <c r="A58">
        <v>34</v>
      </c>
      <c r="B58" t="s">
        <v>57</v>
      </c>
      <c r="C58" t="s">
        <v>58</v>
      </c>
      <c r="D58" t="s">
        <v>59</v>
      </c>
      <c r="E58" t="s">
        <v>31</v>
      </c>
      <c r="F58" t="s">
        <v>24</v>
      </c>
      <c r="G58" t="s">
        <v>30</v>
      </c>
      <c r="H58" t="s">
        <v>20</v>
      </c>
      <c r="I58" s="1">
        <v>45392</v>
      </c>
      <c r="J58">
        <v>4</v>
      </c>
      <c r="K58">
        <v>2024</v>
      </c>
      <c r="L58">
        <v>2</v>
      </c>
      <c r="M58">
        <v>2</v>
      </c>
      <c r="N58">
        <v>26000</v>
      </c>
    </row>
    <row r="59" spans="1:14" x14ac:dyDescent="0.35">
      <c r="A59">
        <v>94</v>
      </c>
      <c r="B59" t="s">
        <v>57</v>
      </c>
      <c r="C59" t="s">
        <v>58</v>
      </c>
      <c r="D59" t="s">
        <v>59</v>
      </c>
      <c r="E59" t="s">
        <v>72</v>
      </c>
      <c r="F59" t="s">
        <v>18</v>
      </c>
      <c r="G59" t="s">
        <v>30</v>
      </c>
      <c r="H59" t="s">
        <v>20</v>
      </c>
      <c r="I59" s="1">
        <v>45392</v>
      </c>
      <c r="J59">
        <v>4</v>
      </c>
      <c r="K59">
        <v>2024</v>
      </c>
      <c r="L59">
        <v>2</v>
      </c>
      <c r="M59">
        <v>1</v>
      </c>
      <c r="N59">
        <v>23000</v>
      </c>
    </row>
    <row r="60" spans="1:14" x14ac:dyDescent="0.35">
      <c r="A60">
        <v>55</v>
      </c>
      <c r="B60" t="s">
        <v>57</v>
      </c>
      <c r="C60" t="s">
        <v>58</v>
      </c>
      <c r="D60" t="s">
        <v>59</v>
      </c>
      <c r="E60" t="s">
        <v>73</v>
      </c>
      <c r="F60" t="s">
        <v>22</v>
      </c>
      <c r="G60" t="s">
        <v>30</v>
      </c>
      <c r="H60" t="s">
        <v>62</v>
      </c>
      <c r="I60" s="1">
        <v>45397</v>
      </c>
      <c r="J60">
        <v>4</v>
      </c>
      <c r="K60">
        <v>2024</v>
      </c>
      <c r="L60">
        <v>2</v>
      </c>
      <c r="M60">
        <v>3</v>
      </c>
      <c r="N60">
        <v>36000</v>
      </c>
    </row>
    <row r="61" spans="1:14" x14ac:dyDescent="0.35">
      <c r="A61">
        <v>16</v>
      </c>
      <c r="B61" t="s">
        <v>57</v>
      </c>
      <c r="C61" t="s">
        <v>58</v>
      </c>
      <c r="D61" t="s">
        <v>59</v>
      </c>
      <c r="E61" t="s">
        <v>33</v>
      </c>
      <c r="F61" t="s">
        <v>24</v>
      </c>
      <c r="G61" t="s">
        <v>19</v>
      </c>
      <c r="H61" t="s">
        <v>20</v>
      </c>
      <c r="I61" s="1">
        <v>45407</v>
      </c>
      <c r="J61">
        <v>4</v>
      </c>
      <c r="K61">
        <v>2024</v>
      </c>
      <c r="L61">
        <v>2</v>
      </c>
      <c r="M61">
        <v>1</v>
      </c>
      <c r="N61">
        <v>15000</v>
      </c>
    </row>
    <row r="62" spans="1:14" x14ac:dyDescent="0.35">
      <c r="A62">
        <v>76</v>
      </c>
      <c r="B62" t="s">
        <v>57</v>
      </c>
      <c r="C62" t="s">
        <v>58</v>
      </c>
      <c r="D62" t="s">
        <v>59</v>
      </c>
      <c r="E62" t="s">
        <v>74</v>
      </c>
      <c r="F62" t="s">
        <v>18</v>
      </c>
      <c r="G62" t="s">
        <v>19</v>
      </c>
      <c r="H62" t="s">
        <v>20</v>
      </c>
      <c r="I62" s="1">
        <v>45407</v>
      </c>
      <c r="J62">
        <v>4</v>
      </c>
      <c r="K62">
        <v>2024</v>
      </c>
      <c r="L62">
        <v>2</v>
      </c>
      <c r="M62">
        <v>2</v>
      </c>
      <c r="N62">
        <v>44000</v>
      </c>
    </row>
    <row r="63" spans="1:14" x14ac:dyDescent="0.35">
      <c r="A63">
        <v>37</v>
      </c>
      <c r="B63" t="s">
        <v>57</v>
      </c>
      <c r="C63" t="s">
        <v>58</v>
      </c>
      <c r="D63" t="s">
        <v>59</v>
      </c>
      <c r="E63" t="s">
        <v>36</v>
      </c>
      <c r="F63" t="s">
        <v>22</v>
      </c>
      <c r="G63" t="s">
        <v>30</v>
      </c>
      <c r="H63" t="s">
        <v>62</v>
      </c>
      <c r="I63" s="1">
        <v>45413</v>
      </c>
      <c r="J63">
        <v>5</v>
      </c>
      <c r="K63">
        <v>2024</v>
      </c>
      <c r="L63">
        <v>2</v>
      </c>
      <c r="M63">
        <v>2</v>
      </c>
      <c r="N63">
        <v>14000</v>
      </c>
    </row>
    <row r="64" spans="1:14" x14ac:dyDescent="0.35">
      <c r="A64">
        <v>97</v>
      </c>
      <c r="B64" t="s">
        <v>57</v>
      </c>
      <c r="C64" t="s">
        <v>58</v>
      </c>
      <c r="D64" t="s">
        <v>59</v>
      </c>
      <c r="E64" t="s">
        <v>75</v>
      </c>
      <c r="F64" t="s">
        <v>22</v>
      </c>
      <c r="G64" t="s">
        <v>30</v>
      </c>
      <c r="H64" t="s">
        <v>62</v>
      </c>
      <c r="I64" s="1">
        <v>45413</v>
      </c>
      <c r="J64">
        <v>5</v>
      </c>
      <c r="K64">
        <v>2024</v>
      </c>
      <c r="L64">
        <v>2</v>
      </c>
      <c r="M64">
        <v>2</v>
      </c>
      <c r="N64">
        <v>24000</v>
      </c>
    </row>
    <row r="65" spans="1:14" x14ac:dyDescent="0.35">
      <c r="A65">
        <v>58</v>
      </c>
      <c r="B65" t="s">
        <v>57</v>
      </c>
      <c r="C65" t="s">
        <v>58</v>
      </c>
      <c r="D65" t="s">
        <v>59</v>
      </c>
      <c r="E65" t="s">
        <v>76</v>
      </c>
      <c r="F65" t="s">
        <v>18</v>
      </c>
      <c r="G65" t="s">
        <v>30</v>
      </c>
      <c r="H65" t="s">
        <v>26</v>
      </c>
      <c r="I65" s="1">
        <v>45422</v>
      </c>
      <c r="J65">
        <v>5</v>
      </c>
      <c r="K65">
        <v>2024</v>
      </c>
      <c r="L65">
        <v>2</v>
      </c>
      <c r="M65">
        <v>2</v>
      </c>
      <c r="N65">
        <v>34000</v>
      </c>
    </row>
    <row r="66" spans="1:14" x14ac:dyDescent="0.35">
      <c r="A66">
        <v>19</v>
      </c>
      <c r="B66" t="s">
        <v>57</v>
      </c>
      <c r="C66" t="s">
        <v>58</v>
      </c>
      <c r="D66" t="s">
        <v>59</v>
      </c>
      <c r="E66" t="s">
        <v>39</v>
      </c>
      <c r="F66" t="s">
        <v>22</v>
      </c>
      <c r="G66" t="s">
        <v>30</v>
      </c>
      <c r="H66" t="s">
        <v>20</v>
      </c>
      <c r="I66" s="1">
        <v>45427</v>
      </c>
      <c r="J66">
        <v>5</v>
      </c>
      <c r="K66">
        <v>2024</v>
      </c>
      <c r="L66">
        <v>2</v>
      </c>
      <c r="M66">
        <v>2</v>
      </c>
      <c r="N66">
        <v>16000</v>
      </c>
    </row>
    <row r="67" spans="1:14" x14ac:dyDescent="0.35">
      <c r="A67">
        <v>79</v>
      </c>
      <c r="B67" t="s">
        <v>57</v>
      </c>
      <c r="C67" t="s">
        <v>58</v>
      </c>
      <c r="D67" t="s">
        <v>59</v>
      </c>
      <c r="E67" t="s">
        <v>77</v>
      </c>
      <c r="F67" t="s">
        <v>18</v>
      </c>
      <c r="G67" t="s">
        <v>30</v>
      </c>
      <c r="H67" t="s">
        <v>20</v>
      </c>
      <c r="I67" s="1">
        <v>45427</v>
      </c>
      <c r="J67">
        <v>5</v>
      </c>
      <c r="K67">
        <v>2024</v>
      </c>
      <c r="L67">
        <v>2</v>
      </c>
      <c r="M67">
        <v>3</v>
      </c>
      <c r="N67">
        <v>51000</v>
      </c>
    </row>
    <row r="68" spans="1:14" x14ac:dyDescent="0.35">
      <c r="A68">
        <v>40</v>
      </c>
      <c r="B68" t="s">
        <v>57</v>
      </c>
      <c r="C68" t="s">
        <v>58</v>
      </c>
      <c r="D68" t="s">
        <v>59</v>
      </c>
      <c r="E68" t="s">
        <v>41</v>
      </c>
      <c r="F68" t="s">
        <v>22</v>
      </c>
      <c r="G68" t="s">
        <v>30</v>
      </c>
      <c r="H68" t="s">
        <v>62</v>
      </c>
      <c r="I68" s="1">
        <v>45437</v>
      </c>
      <c r="J68">
        <v>5</v>
      </c>
      <c r="K68">
        <v>2024</v>
      </c>
      <c r="L68">
        <v>2</v>
      </c>
      <c r="M68">
        <v>3</v>
      </c>
      <c r="N68">
        <v>45000</v>
      </c>
    </row>
    <row r="69" spans="1:14" x14ac:dyDescent="0.35">
      <c r="A69">
        <v>100</v>
      </c>
      <c r="B69" t="s">
        <v>57</v>
      </c>
      <c r="C69" t="s">
        <v>58</v>
      </c>
      <c r="D69" t="s">
        <v>59</v>
      </c>
      <c r="E69" t="s">
        <v>17</v>
      </c>
      <c r="F69" t="s">
        <v>18</v>
      </c>
      <c r="G69" t="s">
        <v>30</v>
      </c>
      <c r="H69" t="s">
        <v>62</v>
      </c>
      <c r="I69" s="1">
        <v>45437</v>
      </c>
      <c r="J69">
        <v>5</v>
      </c>
      <c r="K69">
        <v>2024</v>
      </c>
      <c r="L69">
        <v>2</v>
      </c>
      <c r="M69">
        <v>3</v>
      </c>
      <c r="N69">
        <v>60000</v>
      </c>
    </row>
    <row r="70" spans="1:14" x14ac:dyDescent="0.35">
      <c r="A70">
        <v>41</v>
      </c>
      <c r="B70" t="s">
        <v>78</v>
      </c>
      <c r="C70" t="s">
        <v>79</v>
      </c>
      <c r="D70" t="s">
        <v>80</v>
      </c>
      <c r="E70" t="s">
        <v>69</v>
      </c>
      <c r="F70" t="s">
        <v>22</v>
      </c>
      <c r="G70" t="s">
        <v>30</v>
      </c>
      <c r="H70" t="s">
        <v>62</v>
      </c>
      <c r="I70" s="1">
        <v>45292</v>
      </c>
      <c r="J70">
        <v>1</v>
      </c>
      <c r="K70">
        <v>2024</v>
      </c>
      <c r="L70">
        <v>1</v>
      </c>
      <c r="M70">
        <v>2</v>
      </c>
      <c r="N70">
        <v>16000</v>
      </c>
    </row>
    <row r="71" spans="1:14" x14ac:dyDescent="0.35">
      <c r="A71">
        <v>62</v>
      </c>
      <c r="B71" t="s">
        <v>78</v>
      </c>
      <c r="C71" t="s">
        <v>79</v>
      </c>
      <c r="D71" t="s">
        <v>80</v>
      </c>
      <c r="E71" t="s">
        <v>42</v>
      </c>
      <c r="F71" t="s">
        <v>24</v>
      </c>
      <c r="G71" t="s">
        <v>30</v>
      </c>
      <c r="H71" t="s">
        <v>62</v>
      </c>
      <c r="I71" s="1">
        <v>45293</v>
      </c>
      <c r="J71">
        <v>1</v>
      </c>
      <c r="K71">
        <v>2024</v>
      </c>
      <c r="L71">
        <v>1</v>
      </c>
      <c r="M71">
        <v>3</v>
      </c>
      <c r="N71">
        <v>30000</v>
      </c>
    </row>
    <row r="72" spans="1:14" x14ac:dyDescent="0.35">
      <c r="A72">
        <v>23</v>
      </c>
      <c r="B72" t="s">
        <v>78</v>
      </c>
      <c r="C72" t="s">
        <v>79</v>
      </c>
      <c r="D72" t="s">
        <v>80</v>
      </c>
      <c r="E72" t="s">
        <v>71</v>
      </c>
      <c r="F72" t="s">
        <v>22</v>
      </c>
      <c r="G72" t="s">
        <v>19</v>
      </c>
      <c r="H72" t="s">
        <v>26</v>
      </c>
      <c r="I72" s="1">
        <v>45301</v>
      </c>
      <c r="J72">
        <v>1</v>
      </c>
      <c r="K72">
        <v>2024</v>
      </c>
      <c r="L72">
        <v>1</v>
      </c>
      <c r="M72">
        <v>3</v>
      </c>
      <c r="N72">
        <v>18000</v>
      </c>
    </row>
    <row r="73" spans="1:14" x14ac:dyDescent="0.35">
      <c r="A73">
        <v>83</v>
      </c>
      <c r="B73" t="s">
        <v>78</v>
      </c>
      <c r="C73" t="s">
        <v>79</v>
      </c>
      <c r="D73" t="s">
        <v>80</v>
      </c>
      <c r="E73" t="s">
        <v>44</v>
      </c>
      <c r="F73" t="s">
        <v>24</v>
      </c>
      <c r="G73" t="s">
        <v>19</v>
      </c>
      <c r="H73" t="s">
        <v>26</v>
      </c>
      <c r="I73" s="1">
        <v>45301</v>
      </c>
      <c r="J73">
        <v>1</v>
      </c>
      <c r="K73">
        <v>2024</v>
      </c>
      <c r="L73">
        <v>1</v>
      </c>
      <c r="M73">
        <v>1</v>
      </c>
      <c r="N73">
        <v>14000</v>
      </c>
    </row>
    <row r="74" spans="1:14" x14ac:dyDescent="0.35">
      <c r="A74">
        <v>44</v>
      </c>
      <c r="B74" t="s">
        <v>78</v>
      </c>
      <c r="C74" t="s">
        <v>79</v>
      </c>
      <c r="D74" t="s">
        <v>80</v>
      </c>
      <c r="E74" t="s">
        <v>72</v>
      </c>
      <c r="F74" t="s">
        <v>18</v>
      </c>
      <c r="G74" t="s">
        <v>30</v>
      </c>
      <c r="H74" t="s">
        <v>62</v>
      </c>
      <c r="I74" s="1">
        <v>45306</v>
      </c>
      <c r="J74">
        <v>1</v>
      </c>
      <c r="K74">
        <v>2024</v>
      </c>
      <c r="L74">
        <v>1</v>
      </c>
      <c r="M74">
        <v>1</v>
      </c>
      <c r="N74">
        <v>23000</v>
      </c>
    </row>
    <row r="75" spans="1:14" x14ac:dyDescent="0.35">
      <c r="A75">
        <v>3</v>
      </c>
      <c r="B75" t="s">
        <v>78</v>
      </c>
      <c r="C75" t="s">
        <v>79</v>
      </c>
      <c r="D75" t="s">
        <v>80</v>
      </c>
      <c r="E75" t="s">
        <v>46</v>
      </c>
      <c r="F75" t="s">
        <v>22</v>
      </c>
      <c r="G75" t="s">
        <v>19</v>
      </c>
      <c r="H75" t="s">
        <v>20</v>
      </c>
      <c r="I75" s="1">
        <v>45323</v>
      </c>
      <c r="J75">
        <v>2</v>
      </c>
      <c r="K75">
        <v>2024</v>
      </c>
      <c r="L75">
        <v>1</v>
      </c>
      <c r="M75">
        <v>1</v>
      </c>
      <c r="N75">
        <v>8000</v>
      </c>
    </row>
    <row r="76" spans="1:14" x14ac:dyDescent="0.35">
      <c r="A76">
        <v>65</v>
      </c>
      <c r="B76" t="s">
        <v>78</v>
      </c>
      <c r="C76" t="s">
        <v>79</v>
      </c>
      <c r="D76" t="s">
        <v>80</v>
      </c>
      <c r="E76" t="s">
        <v>47</v>
      </c>
      <c r="F76" t="s">
        <v>24</v>
      </c>
      <c r="G76" t="s">
        <v>30</v>
      </c>
      <c r="H76" t="s">
        <v>26</v>
      </c>
      <c r="I76" s="1">
        <v>45323</v>
      </c>
      <c r="J76">
        <v>2</v>
      </c>
      <c r="K76">
        <v>2024</v>
      </c>
      <c r="L76">
        <v>1</v>
      </c>
      <c r="M76">
        <v>2</v>
      </c>
      <c r="N76">
        <v>10000</v>
      </c>
    </row>
    <row r="77" spans="1:14" x14ac:dyDescent="0.35">
      <c r="A77">
        <v>8</v>
      </c>
      <c r="B77" t="s">
        <v>78</v>
      </c>
      <c r="C77" t="s">
        <v>79</v>
      </c>
      <c r="D77" t="s">
        <v>80</v>
      </c>
      <c r="E77" t="s">
        <v>76</v>
      </c>
      <c r="F77" t="s">
        <v>18</v>
      </c>
      <c r="G77" t="s">
        <v>19</v>
      </c>
      <c r="H77" t="s">
        <v>26</v>
      </c>
      <c r="I77" s="1">
        <v>45332</v>
      </c>
      <c r="J77">
        <v>2</v>
      </c>
      <c r="K77">
        <v>2024</v>
      </c>
      <c r="L77">
        <v>1</v>
      </c>
      <c r="M77">
        <v>3</v>
      </c>
      <c r="N77">
        <v>51000</v>
      </c>
    </row>
    <row r="78" spans="1:14" x14ac:dyDescent="0.35">
      <c r="A78">
        <v>26</v>
      </c>
      <c r="B78" t="s">
        <v>78</v>
      </c>
      <c r="C78" t="s">
        <v>79</v>
      </c>
      <c r="D78" t="s">
        <v>80</v>
      </c>
      <c r="E78" t="s">
        <v>74</v>
      </c>
      <c r="F78" t="s">
        <v>18</v>
      </c>
      <c r="G78" t="s">
        <v>30</v>
      </c>
      <c r="H78" t="s">
        <v>62</v>
      </c>
      <c r="I78" s="1">
        <v>45332</v>
      </c>
      <c r="J78">
        <v>2</v>
      </c>
      <c r="K78">
        <v>2024</v>
      </c>
      <c r="L78">
        <v>1</v>
      </c>
      <c r="M78">
        <v>2</v>
      </c>
      <c r="N78">
        <v>44000</v>
      </c>
    </row>
    <row r="79" spans="1:14" x14ac:dyDescent="0.35">
      <c r="A79">
        <v>86</v>
      </c>
      <c r="B79" t="s">
        <v>78</v>
      </c>
      <c r="C79" t="s">
        <v>79</v>
      </c>
      <c r="D79" t="s">
        <v>80</v>
      </c>
      <c r="E79" t="s">
        <v>49</v>
      </c>
      <c r="F79" t="s">
        <v>22</v>
      </c>
      <c r="G79" t="s">
        <v>30</v>
      </c>
      <c r="H79" t="s">
        <v>62</v>
      </c>
      <c r="I79" s="1">
        <v>45332</v>
      </c>
      <c r="J79">
        <v>2</v>
      </c>
      <c r="K79">
        <v>2024</v>
      </c>
      <c r="L79">
        <v>1</v>
      </c>
      <c r="M79">
        <v>4</v>
      </c>
      <c r="N79">
        <v>20000</v>
      </c>
    </row>
    <row r="80" spans="1:14" x14ac:dyDescent="0.35">
      <c r="A80">
        <v>47</v>
      </c>
      <c r="B80" t="s">
        <v>78</v>
      </c>
      <c r="C80" t="s">
        <v>79</v>
      </c>
      <c r="D80" t="s">
        <v>80</v>
      </c>
      <c r="E80" t="s">
        <v>75</v>
      </c>
      <c r="F80" t="s">
        <v>22</v>
      </c>
      <c r="G80" t="s">
        <v>30</v>
      </c>
      <c r="H80" t="s">
        <v>62</v>
      </c>
      <c r="I80" s="1">
        <v>45336</v>
      </c>
      <c r="J80">
        <v>2</v>
      </c>
      <c r="K80">
        <v>2024</v>
      </c>
      <c r="L80">
        <v>1</v>
      </c>
      <c r="M80">
        <v>2</v>
      </c>
      <c r="N80">
        <v>24000</v>
      </c>
    </row>
    <row r="81" spans="1:14" x14ac:dyDescent="0.35">
      <c r="A81">
        <v>68</v>
      </c>
      <c r="B81" t="s">
        <v>78</v>
      </c>
      <c r="C81" t="s">
        <v>79</v>
      </c>
      <c r="D81" t="s">
        <v>80</v>
      </c>
      <c r="E81" t="s">
        <v>52</v>
      </c>
      <c r="F81" t="s">
        <v>22</v>
      </c>
      <c r="G81" t="s">
        <v>19</v>
      </c>
      <c r="H81" t="s">
        <v>26</v>
      </c>
      <c r="I81" s="1">
        <v>45342</v>
      </c>
      <c r="J81">
        <v>2</v>
      </c>
      <c r="K81">
        <v>2024</v>
      </c>
      <c r="L81">
        <v>1</v>
      </c>
      <c r="M81">
        <v>3</v>
      </c>
      <c r="N81">
        <v>21000</v>
      </c>
    </row>
    <row r="82" spans="1:14" x14ac:dyDescent="0.35">
      <c r="A82">
        <v>29</v>
      </c>
      <c r="B82" t="s">
        <v>78</v>
      </c>
      <c r="C82" t="s">
        <v>79</v>
      </c>
      <c r="D82" t="s">
        <v>80</v>
      </c>
      <c r="E82" t="s">
        <v>77</v>
      </c>
      <c r="F82" t="s">
        <v>18</v>
      </c>
      <c r="G82" t="s">
        <v>30</v>
      </c>
      <c r="H82" t="s">
        <v>62</v>
      </c>
      <c r="I82" s="1">
        <v>45352</v>
      </c>
      <c r="J82">
        <v>3</v>
      </c>
      <c r="K82">
        <v>2024</v>
      </c>
      <c r="L82">
        <v>1</v>
      </c>
      <c r="M82">
        <v>3</v>
      </c>
      <c r="N82">
        <v>51000</v>
      </c>
    </row>
    <row r="83" spans="1:14" x14ac:dyDescent="0.35">
      <c r="A83">
        <v>89</v>
      </c>
      <c r="B83" t="s">
        <v>78</v>
      </c>
      <c r="C83" t="s">
        <v>79</v>
      </c>
      <c r="D83" t="s">
        <v>80</v>
      </c>
      <c r="E83" t="s">
        <v>54</v>
      </c>
      <c r="F83" t="s">
        <v>22</v>
      </c>
      <c r="G83" t="s">
        <v>30</v>
      </c>
      <c r="H83" t="s">
        <v>62</v>
      </c>
      <c r="I83" s="1">
        <v>45352</v>
      </c>
      <c r="J83">
        <v>3</v>
      </c>
      <c r="K83">
        <v>2024</v>
      </c>
      <c r="L83">
        <v>1</v>
      </c>
      <c r="M83">
        <v>2</v>
      </c>
      <c r="N83">
        <v>24000</v>
      </c>
    </row>
    <row r="84" spans="1:14" x14ac:dyDescent="0.35">
      <c r="A84">
        <v>11</v>
      </c>
      <c r="B84" t="s">
        <v>78</v>
      </c>
      <c r="C84" t="s">
        <v>79</v>
      </c>
      <c r="D84" t="s">
        <v>80</v>
      </c>
      <c r="E84" t="s">
        <v>60</v>
      </c>
      <c r="F84" t="s">
        <v>18</v>
      </c>
      <c r="G84" t="s">
        <v>30</v>
      </c>
      <c r="H84" t="s">
        <v>62</v>
      </c>
      <c r="I84" s="1">
        <v>45361</v>
      </c>
      <c r="J84">
        <v>3</v>
      </c>
      <c r="K84">
        <v>2024</v>
      </c>
      <c r="L84">
        <v>1</v>
      </c>
      <c r="M84">
        <v>2</v>
      </c>
      <c r="N84">
        <v>24000</v>
      </c>
    </row>
    <row r="85" spans="1:14" x14ac:dyDescent="0.35">
      <c r="A85">
        <v>50</v>
      </c>
      <c r="B85" t="s">
        <v>78</v>
      </c>
      <c r="C85" t="s">
        <v>79</v>
      </c>
      <c r="D85" t="s">
        <v>80</v>
      </c>
      <c r="E85" t="s">
        <v>17</v>
      </c>
      <c r="F85" t="s">
        <v>18</v>
      </c>
      <c r="G85" t="s">
        <v>30</v>
      </c>
      <c r="H85" t="s">
        <v>26</v>
      </c>
      <c r="I85" s="1">
        <v>45361</v>
      </c>
      <c r="J85">
        <v>3</v>
      </c>
      <c r="K85">
        <v>2024</v>
      </c>
      <c r="L85">
        <v>1</v>
      </c>
      <c r="M85">
        <v>3</v>
      </c>
      <c r="N85">
        <v>60000</v>
      </c>
    </row>
    <row r="86" spans="1:14" x14ac:dyDescent="0.35">
      <c r="A86">
        <v>71</v>
      </c>
      <c r="B86" t="s">
        <v>78</v>
      </c>
      <c r="C86" t="s">
        <v>79</v>
      </c>
      <c r="D86" t="s">
        <v>80</v>
      </c>
      <c r="E86" t="s">
        <v>21</v>
      </c>
      <c r="F86" t="s">
        <v>22</v>
      </c>
      <c r="G86" t="s">
        <v>30</v>
      </c>
      <c r="H86" t="s">
        <v>62</v>
      </c>
      <c r="I86" s="1">
        <v>45366</v>
      </c>
      <c r="J86">
        <v>3</v>
      </c>
      <c r="K86">
        <v>2024</v>
      </c>
      <c r="L86">
        <v>1</v>
      </c>
      <c r="M86">
        <v>2</v>
      </c>
      <c r="N86">
        <v>20000</v>
      </c>
    </row>
    <row r="87" spans="1:14" x14ac:dyDescent="0.35">
      <c r="A87">
        <v>32</v>
      </c>
      <c r="B87" t="s">
        <v>78</v>
      </c>
      <c r="C87" t="s">
        <v>79</v>
      </c>
      <c r="D87" t="s">
        <v>80</v>
      </c>
      <c r="E87" t="s">
        <v>63</v>
      </c>
      <c r="F87" t="s">
        <v>24</v>
      </c>
      <c r="G87" t="s">
        <v>30</v>
      </c>
      <c r="H87" t="s">
        <v>62</v>
      </c>
      <c r="I87" s="1">
        <v>45376</v>
      </c>
      <c r="J87">
        <v>3</v>
      </c>
      <c r="K87">
        <v>2024</v>
      </c>
      <c r="L87">
        <v>1</v>
      </c>
      <c r="M87">
        <v>2</v>
      </c>
      <c r="N87">
        <v>32000</v>
      </c>
    </row>
    <row r="88" spans="1:14" x14ac:dyDescent="0.35">
      <c r="A88">
        <v>92</v>
      </c>
      <c r="B88" t="s">
        <v>78</v>
      </c>
      <c r="C88" t="s">
        <v>79</v>
      </c>
      <c r="D88" t="s">
        <v>80</v>
      </c>
      <c r="E88" t="s">
        <v>25</v>
      </c>
      <c r="F88" t="s">
        <v>18</v>
      </c>
      <c r="G88" t="s">
        <v>30</v>
      </c>
      <c r="H88" t="s">
        <v>62</v>
      </c>
      <c r="I88" s="1">
        <v>45376</v>
      </c>
      <c r="J88">
        <v>3</v>
      </c>
      <c r="K88">
        <v>2024</v>
      </c>
      <c r="L88">
        <v>1</v>
      </c>
      <c r="M88">
        <v>1</v>
      </c>
      <c r="N88">
        <v>25000</v>
      </c>
    </row>
    <row r="89" spans="1:14" x14ac:dyDescent="0.35">
      <c r="A89">
        <v>53</v>
      </c>
      <c r="B89" t="s">
        <v>78</v>
      </c>
      <c r="C89" t="s">
        <v>79</v>
      </c>
      <c r="D89" t="s">
        <v>80</v>
      </c>
      <c r="E89" t="s">
        <v>70</v>
      </c>
      <c r="F89" t="s">
        <v>24</v>
      </c>
      <c r="G89" t="s">
        <v>19</v>
      </c>
      <c r="H89" t="s">
        <v>26</v>
      </c>
      <c r="I89" s="1">
        <v>45383</v>
      </c>
      <c r="J89">
        <v>4</v>
      </c>
      <c r="K89">
        <v>2024</v>
      </c>
      <c r="L89">
        <v>2</v>
      </c>
      <c r="M89">
        <v>1</v>
      </c>
      <c r="N89">
        <v>10000</v>
      </c>
    </row>
    <row r="90" spans="1:14" x14ac:dyDescent="0.35">
      <c r="A90">
        <v>14</v>
      </c>
      <c r="B90" t="s">
        <v>78</v>
      </c>
      <c r="C90" t="s">
        <v>79</v>
      </c>
      <c r="D90" t="s">
        <v>80</v>
      </c>
      <c r="E90" t="s">
        <v>64</v>
      </c>
      <c r="F90" t="s">
        <v>24</v>
      </c>
      <c r="G90" t="s">
        <v>30</v>
      </c>
      <c r="H90" t="s">
        <v>62</v>
      </c>
      <c r="I90" s="1">
        <v>45392</v>
      </c>
      <c r="J90">
        <v>4</v>
      </c>
      <c r="K90">
        <v>2024</v>
      </c>
      <c r="L90">
        <v>2</v>
      </c>
      <c r="M90">
        <v>4</v>
      </c>
      <c r="N90">
        <v>16000</v>
      </c>
    </row>
    <row r="91" spans="1:14" x14ac:dyDescent="0.35">
      <c r="A91">
        <v>74</v>
      </c>
      <c r="B91" t="s">
        <v>78</v>
      </c>
      <c r="C91" t="s">
        <v>79</v>
      </c>
      <c r="D91" t="s">
        <v>80</v>
      </c>
      <c r="E91" t="s">
        <v>29</v>
      </c>
      <c r="F91" t="s">
        <v>18</v>
      </c>
      <c r="G91" t="s">
        <v>30</v>
      </c>
      <c r="H91" t="s">
        <v>62</v>
      </c>
      <c r="I91" s="1">
        <v>45392</v>
      </c>
      <c r="J91">
        <v>4</v>
      </c>
      <c r="K91">
        <v>2024</v>
      </c>
      <c r="L91">
        <v>2</v>
      </c>
      <c r="M91">
        <v>2</v>
      </c>
      <c r="N91">
        <v>28000</v>
      </c>
    </row>
    <row r="92" spans="1:14" x14ac:dyDescent="0.35">
      <c r="A92">
        <v>35</v>
      </c>
      <c r="B92" t="s">
        <v>78</v>
      </c>
      <c r="C92" t="s">
        <v>79</v>
      </c>
      <c r="D92" t="s">
        <v>80</v>
      </c>
      <c r="E92" t="s">
        <v>65</v>
      </c>
      <c r="F92" t="s">
        <v>24</v>
      </c>
      <c r="G92" t="s">
        <v>30</v>
      </c>
      <c r="H92" t="s">
        <v>26</v>
      </c>
      <c r="I92" s="1">
        <v>45397</v>
      </c>
      <c r="J92">
        <v>4</v>
      </c>
      <c r="K92">
        <v>2024</v>
      </c>
      <c r="L92">
        <v>2</v>
      </c>
      <c r="M92">
        <v>3</v>
      </c>
      <c r="N92">
        <v>24000</v>
      </c>
    </row>
    <row r="93" spans="1:14" x14ac:dyDescent="0.35">
      <c r="A93">
        <v>95</v>
      </c>
      <c r="B93" t="s">
        <v>78</v>
      </c>
      <c r="C93" t="s">
        <v>79</v>
      </c>
      <c r="D93" t="s">
        <v>80</v>
      </c>
      <c r="E93" t="s">
        <v>32</v>
      </c>
      <c r="F93" t="s">
        <v>18</v>
      </c>
      <c r="G93" t="s">
        <v>30</v>
      </c>
      <c r="H93" t="s">
        <v>26</v>
      </c>
      <c r="I93" s="1">
        <v>45397</v>
      </c>
      <c r="J93">
        <v>4</v>
      </c>
      <c r="K93">
        <v>2024</v>
      </c>
      <c r="L93">
        <v>2</v>
      </c>
      <c r="M93">
        <v>2</v>
      </c>
      <c r="N93">
        <v>30000</v>
      </c>
    </row>
    <row r="94" spans="1:14" x14ac:dyDescent="0.35">
      <c r="A94">
        <v>56</v>
      </c>
      <c r="B94" t="s">
        <v>78</v>
      </c>
      <c r="C94" t="s">
        <v>79</v>
      </c>
      <c r="D94" t="s">
        <v>80</v>
      </c>
      <c r="E94" t="s">
        <v>27</v>
      </c>
      <c r="F94" t="s">
        <v>18</v>
      </c>
      <c r="G94" t="s">
        <v>30</v>
      </c>
      <c r="H94" t="s">
        <v>62</v>
      </c>
      <c r="I94" s="1">
        <v>45407</v>
      </c>
      <c r="J94">
        <v>4</v>
      </c>
      <c r="K94">
        <v>2024</v>
      </c>
      <c r="L94">
        <v>2</v>
      </c>
      <c r="M94">
        <v>2</v>
      </c>
      <c r="N94">
        <v>36000</v>
      </c>
    </row>
    <row r="95" spans="1:14" x14ac:dyDescent="0.35">
      <c r="A95">
        <v>17</v>
      </c>
      <c r="B95" t="s">
        <v>78</v>
      </c>
      <c r="C95" t="s">
        <v>79</v>
      </c>
      <c r="D95" t="s">
        <v>80</v>
      </c>
      <c r="E95" t="s">
        <v>66</v>
      </c>
      <c r="F95" t="s">
        <v>24</v>
      </c>
      <c r="G95" t="s">
        <v>30</v>
      </c>
      <c r="H95" t="s">
        <v>62</v>
      </c>
      <c r="I95" s="1">
        <v>45413</v>
      </c>
      <c r="J95">
        <v>5</v>
      </c>
      <c r="K95">
        <v>2024</v>
      </c>
      <c r="L95">
        <v>2</v>
      </c>
      <c r="M95">
        <v>2</v>
      </c>
      <c r="N95">
        <v>36000</v>
      </c>
    </row>
    <row r="96" spans="1:14" x14ac:dyDescent="0.35">
      <c r="A96">
        <v>77</v>
      </c>
      <c r="B96" t="s">
        <v>78</v>
      </c>
      <c r="C96" t="s">
        <v>79</v>
      </c>
      <c r="D96" t="s">
        <v>80</v>
      </c>
      <c r="E96" t="s">
        <v>35</v>
      </c>
      <c r="F96" t="s">
        <v>18</v>
      </c>
      <c r="G96" t="s">
        <v>30</v>
      </c>
      <c r="H96" t="s">
        <v>62</v>
      </c>
      <c r="I96" s="1">
        <v>45413</v>
      </c>
      <c r="J96">
        <v>5</v>
      </c>
      <c r="K96">
        <v>2024</v>
      </c>
      <c r="L96">
        <v>2</v>
      </c>
      <c r="M96">
        <v>1</v>
      </c>
      <c r="N96">
        <v>21000</v>
      </c>
    </row>
    <row r="97" spans="1:14" x14ac:dyDescent="0.35">
      <c r="A97">
        <v>38</v>
      </c>
      <c r="B97" t="s">
        <v>78</v>
      </c>
      <c r="C97" t="s">
        <v>79</v>
      </c>
      <c r="D97" t="s">
        <v>80</v>
      </c>
      <c r="E97" t="s">
        <v>67</v>
      </c>
      <c r="F97" t="s">
        <v>22</v>
      </c>
      <c r="G97" t="s">
        <v>19</v>
      </c>
      <c r="H97" t="s">
        <v>26</v>
      </c>
      <c r="I97" s="1">
        <v>45422</v>
      </c>
      <c r="J97">
        <v>5</v>
      </c>
      <c r="K97">
        <v>2024</v>
      </c>
      <c r="L97">
        <v>2</v>
      </c>
      <c r="M97">
        <v>1</v>
      </c>
      <c r="N97">
        <v>10000</v>
      </c>
    </row>
    <row r="98" spans="1:14" x14ac:dyDescent="0.35">
      <c r="A98">
        <v>98</v>
      </c>
      <c r="B98" t="s">
        <v>78</v>
      </c>
      <c r="C98" t="s">
        <v>79</v>
      </c>
      <c r="D98" t="s">
        <v>80</v>
      </c>
      <c r="E98" t="s">
        <v>37</v>
      </c>
      <c r="F98" t="s">
        <v>22</v>
      </c>
      <c r="G98" t="s">
        <v>19</v>
      </c>
      <c r="H98" t="s">
        <v>26</v>
      </c>
      <c r="I98" s="1">
        <v>45422</v>
      </c>
      <c r="J98">
        <v>5</v>
      </c>
      <c r="K98">
        <v>2024</v>
      </c>
      <c r="L98">
        <v>2</v>
      </c>
      <c r="M98">
        <v>1</v>
      </c>
      <c r="N98">
        <v>18000</v>
      </c>
    </row>
    <row r="99" spans="1:14" x14ac:dyDescent="0.35">
      <c r="A99">
        <v>59</v>
      </c>
      <c r="B99" t="s">
        <v>78</v>
      </c>
      <c r="C99" t="s">
        <v>79</v>
      </c>
      <c r="D99" t="s">
        <v>80</v>
      </c>
      <c r="E99" t="s">
        <v>34</v>
      </c>
      <c r="F99" t="s">
        <v>18</v>
      </c>
      <c r="G99" t="s">
        <v>30</v>
      </c>
      <c r="H99" t="s">
        <v>62</v>
      </c>
      <c r="I99" s="1">
        <v>45427</v>
      </c>
      <c r="J99">
        <v>5</v>
      </c>
      <c r="K99">
        <v>2024</v>
      </c>
      <c r="L99">
        <v>2</v>
      </c>
      <c r="M99">
        <v>3</v>
      </c>
      <c r="N99">
        <v>48000</v>
      </c>
    </row>
    <row r="100" spans="1:14" x14ac:dyDescent="0.35">
      <c r="A100">
        <v>20</v>
      </c>
      <c r="B100" t="s">
        <v>78</v>
      </c>
      <c r="C100" t="s">
        <v>79</v>
      </c>
      <c r="D100" t="s">
        <v>80</v>
      </c>
      <c r="E100" t="s">
        <v>68</v>
      </c>
      <c r="F100" t="s">
        <v>22</v>
      </c>
      <c r="G100" t="s">
        <v>30</v>
      </c>
      <c r="H100" t="s">
        <v>26</v>
      </c>
      <c r="I100" s="1">
        <v>45437</v>
      </c>
      <c r="J100">
        <v>5</v>
      </c>
      <c r="K100">
        <v>2024</v>
      </c>
      <c r="L100">
        <v>2</v>
      </c>
      <c r="M100">
        <v>5</v>
      </c>
      <c r="N100">
        <v>25000</v>
      </c>
    </row>
    <row r="101" spans="1:14" x14ac:dyDescent="0.35">
      <c r="A101">
        <v>80</v>
      </c>
      <c r="B101" t="s">
        <v>78</v>
      </c>
      <c r="C101" t="s">
        <v>79</v>
      </c>
      <c r="D101" t="s">
        <v>80</v>
      </c>
      <c r="E101" t="s">
        <v>40</v>
      </c>
      <c r="F101" t="s">
        <v>24</v>
      </c>
      <c r="G101" t="s">
        <v>30</v>
      </c>
      <c r="H101" t="s">
        <v>26</v>
      </c>
      <c r="I101" s="1">
        <v>45437</v>
      </c>
      <c r="J101">
        <v>5</v>
      </c>
      <c r="K101">
        <v>2024</v>
      </c>
      <c r="L101">
        <v>2</v>
      </c>
      <c r="M101">
        <v>2</v>
      </c>
      <c r="N101">
        <v>24000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6861-BF3A-4DC5-A5BE-750A210E6F8D}">
  <dimension ref="B7:C13"/>
  <sheetViews>
    <sheetView workbookViewId="0">
      <selection activeCell="B7" sqref="B7:C13"/>
    </sheetView>
  </sheetViews>
  <sheetFormatPr defaultRowHeight="14.5" x14ac:dyDescent="0.35"/>
  <cols>
    <col min="2" max="2" width="12.36328125" bestFit="1" customWidth="1"/>
    <col min="3" max="3" width="17" bestFit="1" customWidth="1"/>
  </cols>
  <sheetData>
    <row r="7" spans="2:3" x14ac:dyDescent="0.35">
      <c r="B7" s="3" t="s">
        <v>82</v>
      </c>
      <c r="C7" s="2" t="s">
        <v>81</v>
      </c>
    </row>
    <row r="8" spans="2:3" x14ac:dyDescent="0.35">
      <c r="B8" s="4">
        <v>1</v>
      </c>
      <c r="C8" s="2">
        <v>476000</v>
      </c>
    </row>
    <row r="9" spans="2:3" x14ac:dyDescent="0.35">
      <c r="B9" s="4">
        <v>2</v>
      </c>
      <c r="C9" s="2">
        <v>488000</v>
      </c>
    </row>
    <row r="10" spans="2:3" x14ac:dyDescent="0.35">
      <c r="B10" s="4">
        <v>3</v>
      </c>
      <c r="C10" s="2">
        <v>550000</v>
      </c>
    </row>
    <row r="11" spans="2:3" x14ac:dyDescent="0.35">
      <c r="B11" s="4">
        <v>4</v>
      </c>
      <c r="C11" s="2">
        <v>466000</v>
      </c>
    </row>
    <row r="12" spans="2:3" x14ac:dyDescent="0.35">
      <c r="B12" s="4">
        <v>5</v>
      </c>
      <c r="C12" s="2">
        <v>586000</v>
      </c>
    </row>
    <row r="13" spans="2:3" x14ac:dyDescent="0.35">
      <c r="B13" s="4" t="s">
        <v>83</v>
      </c>
      <c r="C13" s="2">
        <v>2566000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2913BE-BC22-41DA-A9C8-6A50704255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retail_xyz_sql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intanputrimansyur@outlook.com</dc:creator>
  <cp:lastModifiedBy>intanputrimansyur@outlook.com</cp:lastModifiedBy>
  <cp:lastPrinted>2026-04-16T05:32:05Z</cp:lastPrinted>
  <dcterms:created xsi:type="dcterms:W3CDTF">2026-04-16T03:34:37Z</dcterms:created>
  <dcterms:modified xsi:type="dcterms:W3CDTF">2026-04-26T15:44:41Z</dcterms:modified>
</cp:coreProperties>
</file>